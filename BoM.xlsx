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/Documents/GitHub/Pan-Tilt-Slider-Mount/"/>
    </mc:Choice>
  </mc:AlternateContent>
  <xr:revisionPtr revIDLastSave="0" documentId="13_ncr:1_{7B8F12C8-8253-DB46-B4C1-C614FC0A99B1}" xr6:coauthVersionLast="47" xr6:coauthVersionMax="47" xr10:uidLastSave="{00000000-0000-0000-0000-000000000000}"/>
  <bookViews>
    <workbookView xWindow="500" yWindow="4880" windowWidth="36000" windowHeight="22580" activeTab="1" xr2:uid="{7D7507C8-E512-8F40-AC52-54E4FCE5CD5C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2" l="1"/>
  <c r="C61" i="2"/>
  <c r="C53" i="2"/>
  <c r="C54" i="2"/>
  <c r="C55" i="2"/>
  <c r="C56" i="2"/>
  <c r="C57" i="2"/>
  <c r="C52" i="2"/>
  <c r="C49" i="2"/>
  <c r="C40" i="2"/>
  <c r="C45" i="2"/>
  <c r="C47" i="2"/>
  <c r="C37" i="2"/>
  <c r="C38" i="2"/>
  <c r="C39" i="2"/>
  <c r="C41" i="2"/>
  <c r="C42" i="2"/>
  <c r="C43" i="2"/>
  <c r="C36" i="2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" i="3"/>
</calcChain>
</file>

<file path=xl/sharedStrings.xml><?xml version="1.0" encoding="utf-8"?>
<sst xmlns="http://schemas.openxmlformats.org/spreadsheetml/2006/main" count="201" uniqueCount="108">
  <si>
    <t>Circuit</t>
  </si>
  <si>
    <t>Teensy 4.0</t>
  </si>
  <si>
    <t>HC-12</t>
  </si>
  <si>
    <t>Buck 5v</t>
  </si>
  <si>
    <t>TMC2209</t>
  </si>
  <si>
    <t>Quantity</t>
  </si>
  <si>
    <t>4 way DIP</t>
  </si>
  <si>
    <t>1n4007</t>
  </si>
  <si>
    <t>100nf 16v</t>
  </si>
  <si>
    <t>10K 1.4w</t>
  </si>
  <si>
    <t>Header Sockets</t>
  </si>
  <si>
    <t>Header Pins</t>
  </si>
  <si>
    <t>Screw PCB teminals 2pin</t>
  </si>
  <si>
    <t>GT2 Pulley - 120 tooth</t>
  </si>
  <si>
    <t>GT2 Pulley - 16 tooth</t>
  </si>
  <si>
    <t>GT2 Pulley - 36 tooth</t>
  </si>
  <si>
    <t>GT2 Pulley - 30 tooth</t>
  </si>
  <si>
    <t>GT2 Idler - 13mm</t>
  </si>
  <si>
    <t>GT2 Belt - 580mm loop</t>
  </si>
  <si>
    <t>GT2 Belt - 350mm loop</t>
  </si>
  <si>
    <t>GT2 Belt - 5m</t>
  </si>
  <si>
    <t>Mount</t>
  </si>
  <si>
    <t>Slider</t>
  </si>
  <si>
    <t>Nema14 0.9 deg 42Ncm</t>
  </si>
  <si>
    <t>DC Jack Socket</t>
  </si>
  <si>
    <t>SDI Panel monut coupler</t>
  </si>
  <si>
    <t>HDMI Keystone coupler</t>
  </si>
  <si>
    <t>4 pin Mini XLR Plug</t>
  </si>
  <si>
    <t>4 pin Mini XLR Socket</t>
  </si>
  <si>
    <t>F688ZZ Flanged Bearing 8 x 16 x 5mm</t>
  </si>
  <si>
    <t>V Slot Pulley Wheels 625zz</t>
  </si>
  <si>
    <t>DC Jack Plug</t>
  </si>
  <si>
    <t>JST 5pin Socket</t>
  </si>
  <si>
    <t>JST 4pin Socket</t>
  </si>
  <si>
    <t>JST 2pin Socket</t>
  </si>
  <si>
    <t>JST 5pin Plug + Lead</t>
  </si>
  <si>
    <t>JST 4pin Plug + Lead</t>
  </si>
  <si>
    <t>JST 2pin Plug + Lead</t>
  </si>
  <si>
    <t>Nema14 Round Pancake Stepper Motor 0.9 deg</t>
  </si>
  <si>
    <t>M3 Nyloc Nut</t>
  </si>
  <si>
    <t>M3 Insert</t>
  </si>
  <si>
    <t>M5 Nyloc Nut</t>
  </si>
  <si>
    <t>M3 x 45</t>
  </si>
  <si>
    <t>M3 x 20</t>
  </si>
  <si>
    <t>M3 x 12</t>
  </si>
  <si>
    <t>M3 Washer</t>
  </si>
  <si>
    <t>M3 x 8</t>
  </si>
  <si>
    <t>M3 x 10</t>
  </si>
  <si>
    <t>M3 x 30</t>
  </si>
  <si>
    <t>Base + Topper + Ports</t>
  </si>
  <si>
    <t>Inner</t>
  </si>
  <si>
    <t>Upper</t>
  </si>
  <si>
    <t>M3 Counter Sunk x 10</t>
  </si>
  <si>
    <t>M3 x 16</t>
  </si>
  <si>
    <t>M5 x 20</t>
  </si>
  <si>
    <t>Camera Focus + Converter</t>
  </si>
  <si>
    <t>Bearings</t>
  </si>
  <si>
    <t>Side-Support</t>
  </si>
  <si>
    <t>Side-Motor</t>
  </si>
  <si>
    <t>Optional for BMPCC</t>
  </si>
  <si>
    <t>M8 x 25</t>
  </si>
  <si>
    <t>M8 x 50</t>
  </si>
  <si>
    <t>M8 Washer</t>
  </si>
  <si>
    <t>M8 Domed Nut</t>
  </si>
  <si>
    <t>1/4” Camera Thumb Screw</t>
  </si>
  <si>
    <t>Camera</t>
  </si>
  <si>
    <t>3/8 UNC Nut</t>
  </si>
  <si>
    <t>M5 x 30</t>
  </si>
  <si>
    <t>Tripod Mount</t>
  </si>
  <si>
    <t>M3 x 25</t>
  </si>
  <si>
    <t>M5 x 25</t>
  </si>
  <si>
    <t>M5 Washer</t>
  </si>
  <si>
    <t>M5 x 35</t>
  </si>
  <si>
    <t>(drag-side)</t>
  </si>
  <si>
    <t>M5 x 45</t>
  </si>
  <si>
    <t>(motor-wheels)</t>
  </si>
  <si>
    <t>M5 x 55</t>
  </si>
  <si>
    <t>(bottom-wheels)</t>
  </si>
  <si>
    <t>(optional cover)</t>
  </si>
  <si>
    <t>(drag-wheels)</t>
  </si>
  <si>
    <t>(top-wheels)</t>
  </si>
  <si>
    <t>Rail End-Comms</t>
  </si>
  <si>
    <t>Rail End</t>
  </si>
  <si>
    <t>Rail Bottom</t>
  </si>
  <si>
    <t>Rail Top</t>
  </si>
  <si>
    <t>Rail Side Drag</t>
  </si>
  <si>
    <t>Rail Side Motor</t>
  </si>
  <si>
    <t>Rail Drag Arm</t>
  </si>
  <si>
    <t>Rail Drag Clip</t>
  </si>
  <si>
    <t>-</t>
  </si>
  <si>
    <t>Aluminium Extrusion - 8040 C</t>
  </si>
  <si>
    <t>1000 - 3000mm</t>
  </si>
  <si>
    <t>Nema14 1.8 deg 68Ncm</t>
  </si>
  <si>
    <t>6824ZZ 120x150x16mm Bearing</t>
  </si>
  <si>
    <t>https://simplybearings.co.uk/shop/p170416/6824ZZ-Budget-Metal-Shielded-Thin-Section-Deep-Groove-Ball-Bearing-120x150x16mm/product_info.html</t>
  </si>
  <si>
    <t>Link to 120 x 150 x 16 bearing</t>
  </si>
  <si>
    <t>433MHz Antenna</t>
  </si>
  <si>
    <t>U.FL Mini PCI to SMA Female 10cm Lead</t>
  </si>
  <si>
    <t>M2.5 Insert</t>
  </si>
  <si>
    <t>M2.5 x 8 CS</t>
  </si>
  <si>
    <t>M5 P Nyloc Nut</t>
  </si>
  <si>
    <t>M3 x 10 CS</t>
  </si>
  <si>
    <t>M3</t>
  </si>
  <si>
    <t>10 CS</t>
  </si>
  <si>
    <t>Washer</t>
  </si>
  <si>
    <t>Insert</t>
  </si>
  <si>
    <t>M5</t>
  </si>
  <si>
    <t>M5 Nyloc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</si>
</sst>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  <font>
      <sz val="12"/>
      <color rgb="FF000000"/>
      <name val="Helvetica Neue"/>
      <family val="2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2" fillId="0" borderId="3" xfId="0" applyFont="1" applyBorder="1"/>
    <xf numFmtId="0" fontId="2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" fillId="0" borderId="0" xfId="0" applyFont="1"/>
    <xf numFmtId="0" fontId="1" fillId="0" borderId="8" xfId="0" applyFont="1" applyBorder="1"/>
    <xf numFmtId="0" fontId="2" fillId="0" borderId="6" xfId="0" applyFont="1" applyBorder="1"/>
    <xf numFmtId="0" fontId="2" fillId="0" borderId="2" xfId="0" applyFont="1" applyBorder="1"/>
    <xf numFmtId="0" fontId="0" fillId="0" borderId="1" xfId="0" applyBorder="1"/>
    <xf numFmtId="0" fontId="0" fillId="0" borderId="7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6" xfId="0" applyBorder="1"/>
    <xf numFmtId="0" fontId="0" fillId="0" borderId="9" xfId="0" applyBorder="1"/>
    <xf numFmtId="0" fontId="3" fillId="0" borderId="7" xfId="0" applyFont="1" applyBorder="1"/>
    <xf numFmtId="0" fontId="3" fillId="0" borderId="2" xfId="0" applyFont="1" applyBorder="1"/>
    <xf numFmtId="0" fontId="1" fillId="2" borderId="3" xfId="0" applyFont="1" applyFill="1" applyBorder="1"/>
    <xf numFmtId="0" fontId="0" fillId="2" borderId="0" xfId="0" applyFill="1"/>
    <xf numFmtId="0" fontId="0" fillId="2" borderId="4" xfId="0" applyFill="1" applyBorder="1"/>
    <xf numFmtId="0" fontId="4" fillId="0" borderId="0" xfId="1"/>
    <xf numFmtId="0" fontId="1" fillId="0" borderId="3" xfId="0" applyFont="1" applyFill="1" applyBorder="1"/>
    <xf numFmtId="0" fontId="1" fillId="0" borderId="4" xfId="0" applyFont="1" applyFill="1" applyBorder="1"/>
    <xf numFmtId="0" fontId="0" fillId="0" borderId="0" xfId="0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10" xfId="0" applyBorder="1"/>
    <xf numFmtId="0" fontId="0" fillId="0" borderId="1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implybearings.co.uk/shop/p170416/6824ZZ-Budget-Metal-Shielded-Thin-Section-Deep-Groove-Ball-Bearing-120x150x16mm/product_info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87D02-6FC5-D140-8324-770FD729D828}">
  <dimension ref="B3:L25"/>
  <sheetViews>
    <sheetView workbookViewId="0">
      <selection activeCell="J22" sqref="J22"/>
    </sheetView>
  </sheetViews>
  <sheetFormatPr baseColWidth="10" defaultRowHeight="16" x14ac:dyDescent="0.2"/>
  <cols>
    <col min="2" max="2" width="7.33203125" customWidth="1"/>
    <col min="3" max="3" width="33.5" customWidth="1"/>
    <col min="4" max="4" width="9.1640625" customWidth="1"/>
    <col min="6" max="6" width="6.5" customWidth="1"/>
    <col min="7" max="7" width="39" customWidth="1"/>
    <col min="11" max="11" width="25.6640625" customWidth="1"/>
    <col min="12" max="12" width="14.5" customWidth="1"/>
  </cols>
  <sheetData>
    <row r="3" spans="2:12" x14ac:dyDescent="0.2">
      <c r="B3" s="24" t="s">
        <v>0</v>
      </c>
      <c r="C3" s="17"/>
      <c r="D3" s="18" t="s">
        <v>5</v>
      </c>
      <c r="F3" s="24" t="s">
        <v>21</v>
      </c>
      <c r="G3" s="17"/>
      <c r="H3" s="18" t="s">
        <v>5</v>
      </c>
      <c r="J3" s="24" t="s">
        <v>22</v>
      </c>
      <c r="K3" s="17"/>
      <c r="L3" s="18" t="s">
        <v>5</v>
      </c>
    </row>
    <row r="4" spans="2:12" x14ac:dyDescent="0.2">
      <c r="B4" s="19"/>
      <c r="C4" t="s">
        <v>1</v>
      </c>
      <c r="D4" s="20">
        <v>1</v>
      </c>
      <c r="F4" s="19"/>
      <c r="G4" t="s">
        <v>93</v>
      </c>
      <c r="H4" s="20">
        <v>1</v>
      </c>
      <c r="J4" s="19"/>
      <c r="K4" t="s">
        <v>90</v>
      </c>
      <c r="L4" s="20" t="s">
        <v>91</v>
      </c>
    </row>
    <row r="5" spans="2:12" x14ac:dyDescent="0.2">
      <c r="B5" s="19"/>
      <c r="C5" t="s">
        <v>2</v>
      </c>
      <c r="D5" s="20">
        <v>1</v>
      </c>
      <c r="F5" s="19"/>
      <c r="G5" t="s">
        <v>29</v>
      </c>
      <c r="H5" s="20">
        <v>4</v>
      </c>
      <c r="J5" s="19"/>
      <c r="L5" s="20"/>
    </row>
    <row r="6" spans="2:12" x14ac:dyDescent="0.2">
      <c r="B6" s="19"/>
      <c r="C6" t="s">
        <v>4</v>
      </c>
      <c r="D6" s="20">
        <v>4</v>
      </c>
      <c r="F6" s="19"/>
      <c r="H6" s="20"/>
      <c r="J6" s="19"/>
      <c r="K6" t="s">
        <v>16</v>
      </c>
      <c r="L6" s="20">
        <v>1</v>
      </c>
    </row>
    <row r="7" spans="2:12" x14ac:dyDescent="0.2">
      <c r="B7" s="19"/>
      <c r="C7" t="s">
        <v>3</v>
      </c>
      <c r="D7" s="20">
        <v>1</v>
      </c>
      <c r="F7" s="19"/>
      <c r="G7" t="s">
        <v>13</v>
      </c>
      <c r="H7" s="20">
        <v>1</v>
      </c>
      <c r="J7" s="19"/>
      <c r="K7" t="s">
        <v>17</v>
      </c>
      <c r="L7" s="20">
        <v>2</v>
      </c>
    </row>
    <row r="8" spans="2:12" x14ac:dyDescent="0.2">
      <c r="B8" s="19"/>
      <c r="C8" t="s">
        <v>6</v>
      </c>
      <c r="D8" s="20">
        <v>1</v>
      </c>
      <c r="F8" s="19"/>
      <c r="G8" t="s">
        <v>15</v>
      </c>
      <c r="H8" s="20">
        <v>1</v>
      </c>
      <c r="J8" s="19"/>
      <c r="K8" t="s">
        <v>20</v>
      </c>
      <c r="L8" s="20">
        <v>1</v>
      </c>
    </row>
    <row r="9" spans="2:12" x14ac:dyDescent="0.2">
      <c r="B9" s="19"/>
      <c r="C9" t="s">
        <v>7</v>
      </c>
      <c r="D9" s="20">
        <v>2</v>
      </c>
      <c r="F9" s="19"/>
      <c r="G9" t="s">
        <v>14</v>
      </c>
      <c r="H9" s="20">
        <v>1</v>
      </c>
      <c r="J9" s="19"/>
      <c r="L9" s="20"/>
    </row>
    <row r="10" spans="2:12" x14ac:dyDescent="0.2">
      <c r="B10" s="19"/>
      <c r="C10" t="s">
        <v>8</v>
      </c>
      <c r="D10" s="20">
        <v>5</v>
      </c>
      <c r="F10" s="19"/>
      <c r="H10" s="20"/>
      <c r="J10" s="19"/>
      <c r="K10" t="s">
        <v>92</v>
      </c>
      <c r="L10" s="20">
        <v>1</v>
      </c>
    </row>
    <row r="11" spans="2:12" x14ac:dyDescent="0.2">
      <c r="B11" s="19"/>
      <c r="C11" t="s">
        <v>9</v>
      </c>
      <c r="D11" s="20">
        <v>4</v>
      </c>
      <c r="F11" s="19"/>
      <c r="G11" t="s">
        <v>18</v>
      </c>
      <c r="H11" s="20">
        <v>1</v>
      </c>
      <c r="J11" s="19"/>
      <c r="L11" s="20"/>
    </row>
    <row r="12" spans="2:12" x14ac:dyDescent="0.2">
      <c r="B12" s="19"/>
      <c r="C12" t="s">
        <v>12</v>
      </c>
      <c r="D12" s="20">
        <v>1</v>
      </c>
      <c r="F12" s="19"/>
      <c r="G12" t="s">
        <v>19</v>
      </c>
      <c r="H12" s="20">
        <v>1</v>
      </c>
      <c r="J12" s="19"/>
      <c r="K12" t="s">
        <v>28</v>
      </c>
      <c r="L12" s="20">
        <v>1</v>
      </c>
    </row>
    <row r="13" spans="2:12" x14ac:dyDescent="0.2">
      <c r="B13" s="19"/>
      <c r="C13" t="s">
        <v>32</v>
      </c>
      <c r="D13" s="20">
        <v>1</v>
      </c>
      <c r="F13" s="19"/>
      <c r="H13" s="20"/>
      <c r="J13" s="19"/>
      <c r="K13" t="s">
        <v>27</v>
      </c>
      <c r="L13" s="20">
        <v>1</v>
      </c>
    </row>
    <row r="14" spans="2:12" x14ac:dyDescent="0.2">
      <c r="B14" s="19"/>
      <c r="C14" t="s">
        <v>33</v>
      </c>
      <c r="D14" s="20">
        <v>4</v>
      </c>
      <c r="F14" s="19"/>
      <c r="G14" t="s">
        <v>23</v>
      </c>
      <c r="H14" s="20">
        <v>2</v>
      </c>
      <c r="J14" s="19"/>
      <c r="L14" s="20"/>
    </row>
    <row r="15" spans="2:12" x14ac:dyDescent="0.2">
      <c r="B15" s="19"/>
      <c r="C15" t="s">
        <v>34</v>
      </c>
      <c r="D15" s="20">
        <v>3</v>
      </c>
      <c r="F15" s="19"/>
      <c r="G15" t="s">
        <v>38</v>
      </c>
      <c r="H15" s="20">
        <v>1</v>
      </c>
      <c r="J15" s="19"/>
      <c r="K15" t="s">
        <v>30</v>
      </c>
      <c r="L15" s="20">
        <v>16</v>
      </c>
    </row>
    <row r="16" spans="2:12" x14ac:dyDescent="0.2">
      <c r="B16" s="19"/>
      <c r="C16" t="s">
        <v>35</v>
      </c>
      <c r="D16" s="20">
        <v>1</v>
      </c>
      <c r="F16" s="19"/>
      <c r="H16" s="20"/>
      <c r="J16" s="19"/>
      <c r="L16" s="20"/>
    </row>
    <row r="17" spans="2:12" x14ac:dyDescent="0.2">
      <c r="B17" s="19"/>
      <c r="C17" t="s">
        <v>36</v>
      </c>
      <c r="D17" s="20">
        <v>4</v>
      </c>
      <c r="F17" s="19"/>
      <c r="G17" t="s">
        <v>24</v>
      </c>
      <c r="H17" s="20">
        <v>1</v>
      </c>
      <c r="J17" s="19"/>
      <c r="K17" t="s">
        <v>31</v>
      </c>
      <c r="L17" s="20">
        <v>2</v>
      </c>
    </row>
    <row r="18" spans="2:12" x14ac:dyDescent="0.2">
      <c r="B18" s="19"/>
      <c r="C18" t="s">
        <v>37</v>
      </c>
      <c r="D18" s="20">
        <v>3</v>
      </c>
      <c r="F18" s="19"/>
      <c r="G18" t="s">
        <v>26</v>
      </c>
      <c r="H18" s="20">
        <v>1</v>
      </c>
      <c r="J18" s="19"/>
      <c r="K18" t="s">
        <v>24</v>
      </c>
      <c r="L18" s="20">
        <v>2</v>
      </c>
    </row>
    <row r="19" spans="2:12" x14ac:dyDescent="0.2">
      <c r="B19" s="19"/>
      <c r="C19" t="s">
        <v>10</v>
      </c>
      <c r="D19" s="20"/>
      <c r="F19" s="19"/>
      <c r="G19" t="s">
        <v>25</v>
      </c>
      <c r="H19" s="20">
        <v>2</v>
      </c>
      <c r="J19" s="19"/>
      <c r="K19" t="s">
        <v>26</v>
      </c>
      <c r="L19" s="20">
        <v>1</v>
      </c>
    </row>
    <row r="20" spans="2:12" x14ac:dyDescent="0.2">
      <c r="B20" s="21"/>
      <c r="C20" s="22" t="s">
        <v>11</v>
      </c>
      <c r="D20" s="23"/>
      <c r="F20" s="19"/>
      <c r="H20" s="20"/>
      <c r="J20" s="21"/>
      <c r="K20" s="22" t="s">
        <v>25</v>
      </c>
      <c r="L20" s="23">
        <v>2</v>
      </c>
    </row>
    <row r="21" spans="2:12" x14ac:dyDescent="0.2">
      <c r="F21" s="19"/>
      <c r="G21" t="s">
        <v>96</v>
      </c>
      <c r="H21" s="20">
        <v>1</v>
      </c>
    </row>
    <row r="22" spans="2:12" x14ac:dyDescent="0.2">
      <c r="F22" s="21"/>
      <c r="G22" s="22" t="s">
        <v>97</v>
      </c>
      <c r="H22" s="23">
        <v>1</v>
      </c>
    </row>
    <row r="24" spans="2:12" x14ac:dyDescent="0.2">
      <c r="G24" t="s">
        <v>95</v>
      </c>
    </row>
    <row r="25" spans="2:12" x14ac:dyDescent="0.2">
      <c r="G25" s="30" t="s">
        <v>94</v>
      </c>
    </row>
  </sheetData>
  <hyperlinks>
    <hyperlink ref="G25" r:id="rId1" xr:uid="{0D49695B-7C27-D248-8410-A8B8523DE36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7AFB-FCA0-6A42-BBD3-C9865C122204}">
  <dimension ref="B2:AA61"/>
  <sheetViews>
    <sheetView tabSelected="1" topLeftCell="A31" workbookViewId="0">
      <selection activeCell="A60" sqref="A60:XFD61"/>
    </sheetView>
  </sheetViews>
  <sheetFormatPr baseColWidth="10" defaultRowHeight="16" x14ac:dyDescent="0.2"/>
  <cols>
    <col min="2" max="2" width="18.6640625" customWidth="1"/>
    <col min="3" max="3" width="3.1640625" customWidth="1"/>
    <col min="5" max="5" width="11.6640625" customWidth="1"/>
    <col min="6" max="6" width="3.33203125" customWidth="1"/>
    <col min="8" max="8" width="11.33203125" customWidth="1"/>
    <col min="9" max="9" width="3.5" customWidth="1"/>
    <col min="10" max="10" width="13.5" customWidth="1"/>
    <col min="12" max="12" width="20" customWidth="1"/>
    <col min="13" max="13" width="5" customWidth="1"/>
    <col min="14" max="14" width="13.6640625" customWidth="1"/>
    <col min="16" max="16" width="13.6640625" customWidth="1"/>
    <col min="17" max="17" width="2.83203125" customWidth="1"/>
    <col min="20" max="20" width="4" customWidth="1"/>
    <col min="22" max="22" width="14.1640625" customWidth="1"/>
    <col min="23" max="23" width="2.6640625" customWidth="1"/>
    <col min="24" max="24" width="18.1640625" customWidth="1"/>
    <col min="26" max="26" width="13.6640625" customWidth="1"/>
    <col min="27" max="27" width="3.5" customWidth="1"/>
  </cols>
  <sheetData>
    <row r="2" spans="2:27" x14ac:dyDescent="0.2">
      <c r="B2" t="s">
        <v>49</v>
      </c>
      <c r="E2" t="s">
        <v>50</v>
      </c>
      <c r="H2" t="s">
        <v>51</v>
      </c>
      <c r="L2" s="2" t="s">
        <v>55</v>
      </c>
      <c r="P2" s="2" t="s">
        <v>57</v>
      </c>
      <c r="S2" s="2" t="s">
        <v>58</v>
      </c>
      <c r="V2" s="2" t="s">
        <v>65</v>
      </c>
      <c r="Z2" s="2" t="s">
        <v>68</v>
      </c>
    </row>
    <row r="3" spans="2:27" x14ac:dyDescent="0.2">
      <c r="B3" s="3" t="s">
        <v>98</v>
      </c>
      <c r="C3" s="4">
        <v>4</v>
      </c>
      <c r="E3" s="3" t="s">
        <v>40</v>
      </c>
      <c r="F3" s="4">
        <v>12</v>
      </c>
      <c r="H3" s="3" t="s">
        <v>40</v>
      </c>
      <c r="I3" s="4">
        <v>4</v>
      </c>
      <c r="L3" s="3" t="s">
        <v>40</v>
      </c>
      <c r="M3" s="4">
        <v>4</v>
      </c>
      <c r="P3" s="3" t="s">
        <v>48</v>
      </c>
      <c r="Q3" s="4">
        <v>2</v>
      </c>
      <c r="S3" s="3" t="s">
        <v>53</v>
      </c>
      <c r="T3" s="4">
        <v>4</v>
      </c>
      <c r="V3" s="3" t="s">
        <v>53</v>
      </c>
      <c r="W3" s="11">
        <v>2</v>
      </c>
      <c r="X3" s="4" t="s">
        <v>59</v>
      </c>
      <c r="Z3" s="3" t="s">
        <v>41</v>
      </c>
      <c r="AA3" s="4">
        <v>4</v>
      </c>
    </row>
    <row r="4" spans="2:27" x14ac:dyDescent="0.2">
      <c r="B4" s="5" t="s">
        <v>40</v>
      </c>
      <c r="C4" s="6">
        <v>10</v>
      </c>
      <c r="E4" s="7"/>
      <c r="F4" s="8"/>
      <c r="H4" s="7"/>
      <c r="I4" s="8"/>
      <c r="L4" s="5" t="s">
        <v>41</v>
      </c>
      <c r="M4" s="6">
        <v>2</v>
      </c>
      <c r="P4" s="5" t="s">
        <v>42</v>
      </c>
      <c r="Q4" s="6">
        <v>1</v>
      </c>
      <c r="S4" s="5" t="s">
        <v>48</v>
      </c>
      <c r="T4" s="6">
        <v>2</v>
      </c>
      <c r="V4" s="5" t="s">
        <v>60</v>
      </c>
      <c r="W4" s="1">
        <v>1</v>
      </c>
      <c r="X4" s="8"/>
      <c r="Z4" s="5" t="s">
        <v>66</v>
      </c>
      <c r="AA4" s="6">
        <v>1</v>
      </c>
    </row>
    <row r="5" spans="2:27" x14ac:dyDescent="0.2">
      <c r="B5" s="5" t="s">
        <v>100</v>
      </c>
      <c r="C5" s="6">
        <v>4</v>
      </c>
      <c r="E5" s="9" t="s">
        <v>46</v>
      </c>
      <c r="F5" s="10">
        <v>4</v>
      </c>
      <c r="H5" s="5" t="s">
        <v>47</v>
      </c>
      <c r="I5" s="6">
        <v>4</v>
      </c>
      <c r="L5" s="7"/>
      <c r="M5" s="8"/>
      <c r="P5" s="7"/>
      <c r="Q5" s="8"/>
      <c r="S5" s="5" t="s">
        <v>42</v>
      </c>
      <c r="T5" s="6">
        <v>1</v>
      </c>
      <c r="V5" s="5" t="s">
        <v>61</v>
      </c>
      <c r="W5" s="1">
        <v>1</v>
      </c>
      <c r="X5" s="8"/>
      <c r="Z5" s="7"/>
      <c r="AA5" s="8"/>
    </row>
    <row r="6" spans="2:27" x14ac:dyDescent="0.2">
      <c r="B6" s="7"/>
      <c r="C6" s="8"/>
      <c r="H6" s="5" t="s">
        <v>48</v>
      </c>
      <c r="I6" s="6">
        <v>6</v>
      </c>
      <c r="L6" s="5" t="s">
        <v>52</v>
      </c>
      <c r="M6" s="6">
        <v>2</v>
      </c>
      <c r="P6" s="5" t="s">
        <v>45</v>
      </c>
      <c r="Q6" s="6">
        <v>3</v>
      </c>
      <c r="S6" s="7"/>
      <c r="T6" s="8"/>
      <c r="V6" s="7"/>
      <c r="W6" s="12"/>
      <c r="X6" s="8"/>
      <c r="Z6" s="5" t="s">
        <v>54</v>
      </c>
      <c r="AA6" s="6">
        <v>4</v>
      </c>
    </row>
    <row r="7" spans="2:27" x14ac:dyDescent="0.2">
      <c r="B7" s="31" t="s">
        <v>99</v>
      </c>
      <c r="C7" s="32">
        <v>4</v>
      </c>
      <c r="H7" s="7"/>
      <c r="I7" s="8"/>
      <c r="L7" s="5" t="s">
        <v>53</v>
      </c>
      <c r="M7" s="6">
        <v>4</v>
      </c>
      <c r="P7" s="7"/>
      <c r="Q7" s="8"/>
      <c r="S7" s="5" t="s">
        <v>45</v>
      </c>
      <c r="T7" s="6">
        <v>7</v>
      </c>
      <c r="V7" s="5" t="s">
        <v>62</v>
      </c>
      <c r="W7" s="1">
        <v>6</v>
      </c>
      <c r="X7" s="8"/>
      <c r="Z7" s="9" t="s">
        <v>67</v>
      </c>
      <c r="AA7" s="10">
        <v>4</v>
      </c>
    </row>
    <row r="8" spans="2:27" x14ac:dyDescent="0.2">
      <c r="B8" s="19"/>
      <c r="C8" s="20"/>
      <c r="H8" s="9" t="s">
        <v>45</v>
      </c>
      <c r="I8" s="10">
        <v>10</v>
      </c>
      <c r="L8" s="9" t="s">
        <v>54</v>
      </c>
      <c r="M8" s="10">
        <v>2</v>
      </c>
      <c r="P8" s="9" t="s">
        <v>56</v>
      </c>
      <c r="Q8" s="10">
        <v>2</v>
      </c>
      <c r="S8" s="7"/>
      <c r="T8" s="8"/>
      <c r="V8" s="7"/>
      <c r="W8" s="12"/>
      <c r="X8" s="8"/>
    </row>
    <row r="9" spans="2:27" x14ac:dyDescent="0.2">
      <c r="B9" s="5" t="s">
        <v>44</v>
      </c>
      <c r="C9" s="6">
        <v>4</v>
      </c>
      <c r="S9" s="9" t="s">
        <v>56</v>
      </c>
      <c r="T9" s="10">
        <v>2</v>
      </c>
      <c r="V9" s="5" t="s">
        <v>63</v>
      </c>
      <c r="W9" s="1">
        <v>2</v>
      </c>
      <c r="X9" s="8"/>
    </row>
    <row r="10" spans="2:27" x14ac:dyDescent="0.2">
      <c r="B10" s="5" t="s">
        <v>43</v>
      </c>
      <c r="C10" s="6">
        <v>2</v>
      </c>
      <c r="V10" s="9" t="s">
        <v>64</v>
      </c>
      <c r="W10" s="13">
        <v>1</v>
      </c>
      <c r="X10" s="14"/>
    </row>
    <row r="11" spans="2:27" x14ac:dyDescent="0.2">
      <c r="B11" s="5" t="s">
        <v>42</v>
      </c>
      <c r="C11" s="6">
        <v>6</v>
      </c>
    </row>
    <row r="12" spans="2:27" x14ac:dyDescent="0.2">
      <c r="B12" s="7"/>
      <c r="C12" s="8"/>
    </row>
    <row r="13" spans="2:27" x14ac:dyDescent="0.2">
      <c r="B13" s="9" t="s">
        <v>45</v>
      </c>
      <c r="C13" s="10">
        <v>4</v>
      </c>
    </row>
    <row r="18" spans="2:27" x14ac:dyDescent="0.2">
      <c r="B18" s="2" t="s">
        <v>81</v>
      </c>
      <c r="E18" s="2" t="s">
        <v>82</v>
      </c>
      <c r="H18" s="2" t="s">
        <v>83</v>
      </c>
      <c r="L18" s="2" t="s">
        <v>84</v>
      </c>
      <c r="P18" s="2" t="s">
        <v>85</v>
      </c>
      <c r="S18" s="2" t="s">
        <v>86</v>
      </c>
      <c r="V18" s="2" t="s">
        <v>87</v>
      </c>
      <c r="Z18" s="2" t="s">
        <v>88</v>
      </c>
    </row>
    <row r="19" spans="2:27" x14ac:dyDescent="0.2">
      <c r="B19" s="3" t="s">
        <v>39</v>
      </c>
      <c r="C19" s="4">
        <v>7</v>
      </c>
      <c r="E19" s="3" t="s">
        <v>66</v>
      </c>
      <c r="F19" s="4">
        <v>1</v>
      </c>
      <c r="H19" s="3" t="s">
        <v>41</v>
      </c>
      <c r="I19" s="11">
        <v>6</v>
      </c>
      <c r="J19" s="15"/>
      <c r="L19" s="3" t="s">
        <v>41</v>
      </c>
      <c r="M19" s="11">
        <v>6</v>
      </c>
      <c r="N19" s="15"/>
      <c r="P19" s="3" t="s">
        <v>41</v>
      </c>
      <c r="Q19" s="4">
        <v>6</v>
      </c>
      <c r="S19" s="3" t="s">
        <v>41</v>
      </c>
      <c r="T19" s="4">
        <v>4</v>
      </c>
      <c r="V19" s="3" t="s">
        <v>39</v>
      </c>
      <c r="W19" s="4">
        <v>2</v>
      </c>
      <c r="Z19" s="3" t="s">
        <v>39</v>
      </c>
      <c r="AA19" s="4">
        <v>4</v>
      </c>
    </row>
    <row r="20" spans="2:27" x14ac:dyDescent="0.2">
      <c r="B20" s="5" t="s">
        <v>40</v>
      </c>
      <c r="C20" s="6">
        <v>4</v>
      </c>
      <c r="E20" s="7"/>
      <c r="F20" s="8"/>
      <c r="H20" s="7"/>
      <c r="I20" s="12"/>
      <c r="J20" s="8"/>
      <c r="L20" s="7"/>
      <c r="M20" s="12"/>
      <c r="N20" s="8"/>
      <c r="P20" s="7"/>
      <c r="Q20" s="8"/>
      <c r="S20" s="7"/>
      <c r="T20" s="8"/>
      <c r="V20" s="7"/>
      <c r="W20" s="8"/>
      <c r="Z20" s="7"/>
      <c r="AA20" s="8"/>
    </row>
    <row r="21" spans="2:27" x14ac:dyDescent="0.2">
      <c r="B21" s="5" t="s">
        <v>66</v>
      </c>
      <c r="C21" s="6">
        <v>1</v>
      </c>
      <c r="E21" s="5" t="s">
        <v>70</v>
      </c>
      <c r="F21" s="6">
        <v>4</v>
      </c>
      <c r="H21" s="5" t="s">
        <v>72</v>
      </c>
      <c r="I21" s="1">
        <v>2</v>
      </c>
      <c r="J21" s="6" t="s">
        <v>73</v>
      </c>
      <c r="L21" s="5" t="s">
        <v>72</v>
      </c>
      <c r="M21" s="1">
        <v>2</v>
      </c>
      <c r="N21" s="6" t="s">
        <v>79</v>
      </c>
      <c r="P21" s="9" t="s">
        <v>54</v>
      </c>
      <c r="Q21" s="10">
        <v>2</v>
      </c>
      <c r="S21" s="5" t="s">
        <v>47</v>
      </c>
      <c r="T21" s="6">
        <v>4</v>
      </c>
      <c r="V21" s="9" t="s">
        <v>54</v>
      </c>
      <c r="W21" s="10">
        <v>2</v>
      </c>
      <c r="Z21" s="5" t="s">
        <v>52</v>
      </c>
      <c r="AA21" s="6">
        <v>4</v>
      </c>
    </row>
    <row r="22" spans="2:27" x14ac:dyDescent="0.2">
      <c r="B22" s="7"/>
      <c r="C22" s="8"/>
      <c r="E22" s="5" t="s">
        <v>72</v>
      </c>
      <c r="F22" s="6">
        <v>2</v>
      </c>
      <c r="H22" s="5" t="s">
        <v>74</v>
      </c>
      <c r="I22" s="1">
        <v>2</v>
      </c>
      <c r="J22" s="6" t="s">
        <v>75</v>
      </c>
      <c r="L22" s="5" t="s">
        <v>74</v>
      </c>
      <c r="M22" s="1">
        <v>2</v>
      </c>
      <c r="N22" s="6" t="s">
        <v>75</v>
      </c>
      <c r="S22" s="9" t="s">
        <v>45</v>
      </c>
      <c r="T22" s="10">
        <v>4</v>
      </c>
      <c r="Z22" s="7"/>
      <c r="AA22" s="8"/>
    </row>
    <row r="23" spans="2:27" x14ac:dyDescent="0.2">
      <c r="B23" s="5" t="s">
        <v>53</v>
      </c>
      <c r="C23" s="6">
        <v>2</v>
      </c>
      <c r="E23" s="19"/>
      <c r="F23" s="20"/>
      <c r="H23" s="5" t="s">
        <v>76</v>
      </c>
      <c r="I23" s="1">
        <v>2</v>
      </c>
      <c r="J23" s="6" t="s">
        <v>77</v>
      </c>
      <c r="L23" s="9" t="s">
        <v>76</v>
      </c>
      <c r="M23" s="13">
        <v>2</v>
      </c>
      <c r="N23" s="10" t="s">
        <v>80</v>
      </c>
      <c r="Z23" s="5" t="s">
        <v>43</v>
      </c>
      <c r="AA23" s="6">
        <v>2</v>
      </c>
    </row>
    <row r="24" spans="2:27" x14ac:dyDescent="0.2">
      <c r="B24" s="5" t="s">
        <v>69</v>
      </c>
      <c r="C24" s="6">
        <v>1</v>
      </c>
      <c r="E24" s="9" t="s">
        <v>71</v>
      </c>
      <c r="F24" s="10">
        <v>4</v>
      </c>
      <c r="H24" s="7"/>
      <c r="I24" s="12"/>
      <c r="J24" s="8"/>
      <c r="Z24" s="9" t="s">
        <v>45</v>
      </c>
      <c r="AA24" s="10">
        <v>2</v>
      </c>
    </row>
    <row r="25" spans="2:27" x14ac:dyDescent="0.2">
      <c r="B25" s="5" t="s">
        <v>101</v>
      </c>
      <c r="C25" s="6">
        <v>4</v>
      </c>
      <c r="H25" s="5" t="s">
        <v>69</v>
      </c>
      <c r="I25" s="1">
        <v>2</v>
      </c>
      <c r="J25" s="6" t="s">
        <v>78</v>
      </c>
    </row>
    <row r="26" spans="2:27" x14ac:dyDescent="0.2">
      <c r="B26" s="7"/>
      <c r="C26" s="8"/>
      <c r="H26" s="9" t="s">
        <v>45</v>
      </c>
      <c r="I26" s="13">
        <v>2</v>
      </c>
      <c r="J26" s="10" t="s">
        <v>78</v>
      </c>
    </row>
    <row r="27" spans="2:27" x14ac:dyDescent="0.2">
      <c r="B27" s="5" t="s">
        <v>70</v>
      </c>
      <c r="C27" s="6">
        <v>4</v>
      </c>
    </row>
    <row r="28" spans="2:27" x14ac:dyDescent="0.2">
      <c r="B28" s="7"/>
      <c r="C28" s="8"/>
    </row>
    <row r="29" spans="2:27" x14ac:dyDescent="0.2">
      <c r="B29" s="5" t="s">
        <v>45</v>
      </c>
      <c r="C29" s="6">
        <v>2</v>
      </c>
    </row>
    <row r="30" spans="2:27" x14ac:dyDescent="0.2">
      <c r="B30" s="9" t="s">
        <v>71</v>
      </c>
      <c r="C30" s="10">
        <v>4</v>
      </c>
    </row>
    <row r="32" spans="2:27" x14ac:dyDescent="0.2">
      <c r="F32" s="2"/>
      <c r="G32" s="2"/>
      <c r="H32" s="2"/>
      <c r="I32" s="2"/>
      <c r="J32" s="2"/>
    </row>
    <row r="33" spans="2:14" x14ac:dyDescent="0.2">
      <c r="B33" s="1"/>
    </row>
    <row r="34" spans="2:14" x14ac:dyDescent="0.2">
      <c r="B34" s="1"/>
    </row>
    <row r="35" spans="2:14" x14ac:dyDescent="0.2">
      <c r="B35" s="34" t="s">
        <v>102</v>
      </c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8"/>
    </row>
    <row r="36" spans="2:14" x14ac:dyDescent="0.2">
      <c r="B36" s="35">
        <v>8</v>
      </c>
      <c r="C36" s="33">
        <f>SUM(D36:N36)</f>
        <v>4</v>
      </c>
      <c r="D36" s="33"/>
      <c r="E36" s="33">
        <v>4</v>
      </c>
      <c r="F36" s="33"/>
      <c r="G36" s="33"/>
      <c r="H36" s="33"/>
      <c r="I36" s="33"/>
      <c r="J36" s="33"/>
      <c r="K36" s="33"/>
      <c r="L36" s="33"/>
      <c r="M36" s="33"/>
      <c r="N36" s="20"/>
    </row>
    <row r="37" spans="2:14" x14ac:dyDescent="0.2">
      <c r="B37" s="35">
        <v>10</v>
      </c>
      <c r="C37" s="33">
        <f>SUM(D37:N37)</f>
        <v>8</v>
      </c>
      <c r="D37" s="33"/>
      <c r="E37" s="33"/>
      <c r="F37" s="33">
        <v>4</v>
      </c>
      <c r="G37" s="33"/>
      <c r="H37" s="33"/>
      <c r="I37" s="33"/>
      <c r="J37" s="33"/>
      <c r="K37" s="33"/>
      <c r="L37" s="33"/>
      <c r="M37" s="33">
        <v>4</v>
      </c>
      <c r="N37" s="20"/>
    </row>
    <row r="38" spans="2:14" x14ac:dyDescent="0.2">
      <c r="B38" s="35">
        <v>12</v>
      </c>
      <c r="C38" s="33">
        <f>SUM(D38:N38)</f>
        <v>4</v>
      </c>
      <c r="D38" s="33">
        <v>4</v>
      </c>
      <c r="E38" s="33"/>
      <c r="F38" s="33"/>
      <c r="G38" s="33"/>
      <c r="H38" s="33"/>
      <c r="I38" s="33"/>
      <c r="J38" s="33"/>
      <c r="K38" s="33"/>
      <c r="L38" s="33"/>
      <c r="M38" s="33"/>
      <c r="N38" s="20"/>
    </row>
    <row r="39" spans="2:14" x14ac:dyDescent="0.2">
      <c r="B39" s="35">
        <v>16</v>
      </c>
      <c r="C39" s="33">
        <f>SUM(D39:N39)</f>
        <v>12</v>
      </c>
      <c r="D39" s="33"/>
      <c r="E39" s="33"/>
      <c r="F39" s="33"/>
      <c r="G39" s="33">
        <v>4</v>
      </c>
      <c r="H39" s="33"/>
      <c r="I39" s="33">
        <v>4</v>
      </c>
      <c r="J39" s="33">
        <v>2</v>
      </c>
      <c r="K39" s="33">
        <v>2</v>
      </c>
      <c r="L39" s="33"/>
      <c r="M39" s="33"/>
      <c r="N39" s="20"/>
    </row>
    <row r="40" spans="2:14" x14ac:dyDescent="0.2">
      <c r="B40" s="35">
        <v>20</v>
      </c>
      <c r="C40" s="33">
        <f>SUM(D40:N40)</f>
        <v>4</v>
      </c>
      <c r="D40" s="33">
        <v>2</v>
      </c>
      <c r="E40" s="33"/>
      <c r="F40" s="33"/>
      <c r="G40" s="33"/>
      <c r="H40" s="33"/>
      <c r="I40" s="33"/>
      <c r="J40" s="33"/>
      <c r="K40" s="33"/>
      <c r="L40" s="33"/>
      <c r="M40" s="33"/>
      <c r="N40" s="20">
        <v>2</v>
      </c>
    </row>
    <row r="41" spans="2:14" x14ac:dyDescent="0.2">
      <c r="B41" s="35">
        <v>25</v>
      </c>
      <c r="C41" s="33">
        <f>SUM(D41:N41)</f>
        <v>3</v>
      </c>
      <c r="D41" s="33"/>
      <c r="E41" s="33"/>
      <c r="F41" s="33"/>
      <c r="G41" s="33"/>
      <c r="H41" s="33"/>
      <c r="I41" s="33"/>
      <c r="J41" s="33"/>
      <c r="K41" s="33">
        <v>1</v>
      </c>
      <c r="L41" s="33">
        <v>2</v>
      </c>
      <c r="M41" s="33"/>
      <c r="N41" s="20"/>
    </row>
    <row r="42" spans="2:14" x14ac:dyDescent="0.2">
      <c r="B42" s="35">
        <v>30</v>
      </c>
      <c r="C42" s="33">
        <f>SUM(D42:N42)</f>
        <v>10</v>
      </c>
      <c r="D42" s="33"/>
      <c r="E42" s="33"/>
      <c r="F42" s="33">
        <v>6</v>
      </c>
      <c r="G42" s="33"/>
      <c r="H42" s="33">
        <v>2</v>
      </c>
      <c r="I42" s="33">
        <v>2</v>
      </c>
      <c r="J42" s="33"/>
      <c r="K42" s="33"/>
      <c r="L42" s="33"/>
      <c r="M42" s="33"/>
      <c r="N42" s="20"/>
    </row>
    <row r="43" spans="2:14" x14ac:dyDescent="0.2">
      <c r="B43" s="35">
        <v>45</v>
      </c>
      <c r="C43" s="33">
        <f>SUM(D43:N43)</f>
        <v>8</v>
      </c>
      <c r="D43" s="33">
        <v>6</v>
      </c>
      <c r="E43" s="33"/>
      <c r="F43" s="33"/>
      <c r="G43" s="33"/>
      <c r="H43" s="33">
        <v>1</v>
      </c>
      <c r="I43" s="33">
        <v>1</v>
      </c>
      <c r="J43" s="33"/>
      <c r="K43" s="33"/>
      <c r="L43" s="33"/>
      <c r="M43" s="33"/>
      <c r="N43" s="20"/>
    </row>
    <row r="44" spans="2:14" x14ac:dyDescent="0.2">
      <c r="B44" s="35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20"/>
    </row>
    <row r="45" spans="2:14" x14ac:dyDescent="0.2">
      <c r="B45" s="35" t="s">
        <v>103</v>
      </c>
      <c r="C45" s="33">
        <f>SUM(D45:N45)</f>
        <v>6</v>
      </c>
      <c r="D45" s="33"/>
      <c r="E45" s="33"/>
      <c r="F45" s="33"/>
      <c r="G45" s="33">
        <v>2</v>
      </c>
      <c r="H45" s="33"/>
      <c r="I45" s="33"/>
      <c r="J45" s="33"/>
      <c r="K45" s="33">
        <v>4</v>
      </c>
      <c r="L45" s="33"/>
      <c r="M45" s="33"/>
      <c r="N45" s="20"/>
    </row>
    <row r="46" spans="2:14" x14ac:dyDescent="0.2">
      <c r="B46" s="35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20"/>
    </row>
    <row r="47" spans="2:14" x14ac:dyDescent="0.2">
      <c r="B47" s="35" t="s">
        <v>104</v>
      </c>
      <c r="C47" s="33">
        <f>SUM(D47:N47)</f>
        <v>32</v>
      </c>
      <c r="D47" s="33">
        <v>4</v>
      </c>
      <c r="E47" s="33"/>
      <c r="F47" s="33">
        <v>10</v>
      </c>
      <c r="G47" s="33"/>
      <c r="H47" s="33">
        <v>3</v>
      </c>
      <c r="I47" s="33">
        <v>7</v>
      </c>
      <c r="J47" s="33"/>
      <c r="K47" s="33">
        <v>2</v>
      </c>
      <c r="L47" s="33">
        <v>2</v>
      </c>
      <c r="M47" s="33">
        <v>4</v>
      </c>
      <c r="N47" s="20"/>
    </row>
    <row r="48" spans="2:14" x14ac:dyDescent="0.2">
      <c r="B48" s="35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20"/>
    </row>
    <row r="49" spans="2:14" x14ac:dyDescent="0.2">
      <c r="B49" s="36" t="s">
        <v>105</v>
      </c>
      <c r="C49" s="22">
        <f>SUM(D49:N49)</f>
        <v>34</v>
      </c>
      <c r="D49" s="22">
        <v>10</v>
      </c>
      <c r="E49" s="22">
        <v>12</v>
      </c>
      <c r="F49" s="22">
        <v>4</v>
      </c>
      <c r="G49" s="22">
        <v>4</v>
      </c>
      <c r="H49" s="22">
        <v>4</v>
      </c>
      <c r="I49" s="22"/>
      <c r="J49" s="22"/>
      <c r="K49" s="22"/>
      <c r="L49" s="22"/>
      <c r="M49" s="22"/>
      <c r="N49" s="23"/>
    </row>
    <row r="50" spans="2:14" x14ac:dyDescent="0.2">
      <c r="B50" s="1"/>
    </row>
    <row r="51" spans="2:14" x14ac:dyDescent="0.2">
      <c r="B51" s="34" t="s">
        <v>106</v>
      </c>
      <c r="C51" s="17"/>
      <c r="D51" s="17"/>
      <c r="E51" s="17"/>
      <c r="F51" s="17"/>
      <c r="G51" s="17"/>
      <c r="H51" s="17"/>
      <c r="I51" s="17"/>
      <c r="J51" s="17"/>
      <c r="K51" s="18"/>
    </row>
    <row r="52" spans="2:14" x14ac:dyDescent="0.2">
      <c r="B52" s="35">
        <v>20</v>
      </c>
      <c r="C52" s="33">
        <f>SUM(D52:K52)</f>
        <v>10</v>
      </c>
      <c r="D52" s="33">
        <v>2</v>
      </c>
      <c r="E52" s="33">
        <v>4</v>
      </c>
      <c r="F52" s="33"/>
      <c r="G52" s="33"/>
      <c r="H52" s="33"/>
      <c r="I52" s="33"/>
      <c r="J52" s="33">
        <v>2</v>
      </c>
      <c r="K52" s="20">
        <v>2</v>
      </c>
    </row>
    <row r="53" spans="2:14" x14ac:dyDescent="0.2">
      <c r="B53" s="35">
        <v>25</v>
      </c>
      <c r="C53" s="33">
        <f t="shared" ref="C53:C61" si="0">SUM(D53:K53)</f>
        <v>8</v>
      </c>
      <c r="D53" s="33"/>
      <c r="E53" s="33"/>
      <c r="F53" s="33">
        <v>4</v>
      </c>
      <c r="G53" s="33">
        <v>4</v>
      </c>
      <c r="H53" s="33"/>
      <c r="I53" s="33"/>
      <c r="J53" s="33"/>
      <c r="K53" s="20"/>
    </row>
    <row r="54" spans="2:14" x14ac:dyDescent="0.2">
      <c r="B54" s="35">
        <v>30</v>
      </c>
      <c r="C54" s="33">
        <f t="shared" si="0"/>
        <v>4</v>
      </c>
      <c r="D54" s="33"/>
      <c r="E54" s="33">
        <v>4</v>
      </c>
      <c r="F54" s="33"/>
      <c r="G54" s="33"/>
      <c r="H54" s="33"/>
      <c r="I54" s="33"/>
      <c r="J54" s="33"/>
      <c r="K54" s="20"/>
    </row>
    <row r="55" spans="2:14" x14ac:dyDescent="0.2">
      <c r="B55" s="35">
        <v>35</v>
      </c>
      <c r="C55" s="33">
        <f t="shared" si="0"/>
        <v>8</v>
      </c>
      <c r="D55" s="33"/>
      <c r="E55" s="33"/>
      <c r="F55" s="33"/>
      <c r="G55" s="33">
        <v>4</v>
      </c>
      <c r="H55" s="33">
        <v>2</v>
      </c>
      <c r="I55" s="33">
        <v>2</v>
      </c>
      <c r="J55" s="33"/>
      <c r="K55" s="20"/>
    </row>
    <row r="56" spans="2:14" x14ac:dyDescent="0.2">
      <c r="B56" s="35">
        <v>45</v>
      </c>
      <c r="C56" s="33">
        <f t="shared" si="0"/>
        <v>4</v>
      </c>
      <c r="D56" s="33"/>
      <c r="E56" s="33"/>
      <c r="F56" s="33"/>
      <c r="G56" s="33"/>
      <c r="H56" s="33">
        <v>2</v>
      </c>
      <c r="I56" s="33">
        <v>2</v>
      </c>
      <c r="J56" s="33"/>
      <c r="K56" s="20"/>
    </row>
    <row r="57" spans="2:14" x14ac:dyDescent="0.2">
      <c r="B57" s="35">
        <v>55</v>
      </c>
      <c r="C57" s="33">
        <f t="shared" si="0"/>
        <v>4</v>
      </c>
      <c r="D57" s="33"/>
      <c r="E57" s="33"/>
      <c r="F57" s="33"/>
      <c r="G57" s="33"/>
      <c r="H57" s="33">
        <v>2</v>
      </c>
      <c r="I57" s="33">
        <v>2</v>
      </c>
      <c r="J57" s="33"/>
      <c r="K57" s="20"/>
    </row>
    <row r="58" spans="2:14" x14ac:dyDescent="0.2">
      <c r="B58" s="37"/>
      <c r="C58" s="33"/>
      <c r="D58" s="33"/>
      <c r="E58" s="33"/>
      <c r="F58" s="33"/>
      <c r="G58" s="33"/>
      <c r="H58" s="33"/>
      <c r="I58" s="33"/>
      <c r="J58" s="33"/>
      <c r="K58" s="20"/>
    </row>
    <row r="59" spans="2:14" x14ac:dyDescent="0.2">
      <c r="B59" s="37" t="s">
        <v>104</v>
      </c>
      <c r="C59" s="33">
        <f t="shared" si="0"/>
        <v>8</v>
      </c>
      <c r="D59" s="33">
        <v>4</v>
      </c>
      <c r="E59" s="33">
        <v>4</v>
      </c>
      <c r="F59" s="33"/>
      <c r="G59" s="33"/>
      <c r="H59" s="33"/>
      <c r="I59" s="33"/>
      <c r="J59" s="33"/>
      <c r="K59" s="20"/>
    </row>
    <row r="60" spans="2:14" x14ac:dyDescent="0.2">
      <c r="B60" s="37"/>
      <c r="C60" s="33"/>
      <c r="D60" s="33"/>
      <c r="E60" s="33"/>
      <c r="F60" s="33"/>
      <c r="G60" s="33"/>
      <c r="H60" s="33"/>
      <c r="I60" s="33"/>
      <c r="J60" s="33"/>
      <c r="K60" s="20"/>
    </row>
    <row r="61" spans="2:14" x14ac:dyDescent="0.2">
      <c r="B61" s="38" t="s">
        <v>107</v>
      </c>
      <c r="C61" s="22">
        <f t="shared" si="0"/>
        <v>32</v>
      </c>
      <c r="D61" s="22">
        <v>4</v>
      </c>
      <c r="E61" s="22">
        <v>2</v>
      </c>
      <c r="F61" s="22">
        <v>4</v>
      </c>
      <c r="G61" s="22">
        <v>6</v>
      </c>
      <c r="H61" s="22">
        <v>6</v>
      </c>
      <c r="I61" s="22">
        <v>6</v>
      </c>
      <c r="J61" s="22">
        <v>4</v>
      </c>
      <c r="K61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A6369-A534-B74C-B1EF-BFBD994F6239}">
  <dimension ref="B2:R31"/>
  <sheetViews>
    <sheetView zoomScale="92" zoomScaleNormal="92" workbookViewId="0">
      <selection activeCell="F36" sqref="F36"/>
    </sheetView>
  </sheetViews>
  <sheetFormatPr baseColWidth="10" defaultRowHeight="16" x14ac:dyDescent="0.2"/>
  <cols>
    <col min="1" max="1" width="3.33203125" customWidth="1"/>
    <col min="2" max="2" width="19" customWidth="1"/>
    <col min="3" max="3" width="19.6640625" customWidth="1"/>
    <col min="4" max="4" width="6.1640625" customWidth="1"/>
    <col min="5" max="5" width="7.1640625" customWidth="1"/>
    <col min="6" max="6" width="26.33203125" customWidth="1"/>
    <col min="7" max="7" width="13.6640625" customWidth="1"/>
    <col min="8" max="8" width="11.33203125" customWidth="1"/>
    <col min="9" max="9" width="8.33203125" customWidth="1"/>
    <col min="10" max="10" width="13.6640625" customWidth="1"/>
    <col min="11" max="11" width="16.33203125" customWidth="1"/>
    <col min="12" max="12" width="8.83203125" customWidth="1"/>
    <col min="13" max="13" width="11.5" customWidth="1"/>
    <col min="15" max="15" width="13.6640625" customWidth="1"/>
    <col min="16" max="16" width="15" customWidth="1"/>
    <col min="17" max="17" width="14.1640625" customWidth="1"/>
    <col min="18" max="18" width="14" customWidth="1"/>
  </cols>
  <sheetData>
    <row r="2" spans="2:18" x14ac:dyDescent="0.2">
      <c r="B2" s="16"/>
      <c r="C2" s="17" t="s">
        <v>49</v>
      </c>
      <c r="D2" s="17" t="s">
        <v>50</v>
      </c>
      <c r="E2" s="17" t="s">
        <v>51</v>
      </c>
      <c r="F2" s="25" t="s">
        <v>55</v>
      </c>
      <c r="G2" s="25" t="s">
        <v>57</v>
      </c>
      <c r="H2" s="25" t="s">
        <v>58</v>
      </c>
      <c r="I2" s="25" t="s">
        <v>65</v>
      </c>
      <c r="J2" s="25" t="s">
        <v>68</v>
      </c>
      <c r="K2" s="25" t="s">
        <v>81</v>
      </c>
      <c r="L2" s="25" t="s">
        <v>82</v>
      </c>
      <c r="M2" s="25" t="s">
        <v>83</v>
      </c>
      <c r="N2" s="25" t="s">
        <v>84</v>
      </c>
      <c r="O2" s="25" t="s">
        <v>85</v>
      </c>
      <c r="P2" s="25" t="s">
        <v>86</v>
      </c>
      <c r="Q2" s="25" t="s">
        <v>87</v>
      </c>
      <c r="R2" s="26" t="s">
        <v>88</v>
      </c>
    </row>
    <row r="3" spans="2:18" x14ac:dyDescent="0.2">
      <c r="B3" s="5" t="s">
        <v>46</v>
      </c>
      <c r="C3" t="str">
        <f>_xlfn.XLOOKUP(B3,Sheet2!B$3:B$13,Sheet2!C$3:C$13,"",0,1)</f>
        <v/>
      </c>
      <c r="D3">
        <f>_xlfn.XLOOKUP(B3,Sheet2!E$3:E$5,Sheet2!F$3:F$5,"",0,1)</f>
        <v>4</v>
      </c>
      <c r="E3" t="str">
        <f>_xlfn.XLOOKUP(B3,Sheet2!H$3:H$8,Sheet2!I$3:I$8,"",0,1)</f>
        <v/>
      </c>
      <c r="F3" t="str">
        <f>_xlfn.XLOOKUP(B3,Sheet2!L$3:L$8,Sheet2!M$3:M$8,"",0,1)</f>
        <v/>
      </c>
      <c r="G3" t="str">
        <f>_xlfn.XLOOKUP(B3,Sheet2!P$3:P$8,Sheet2!Q$3:Q$8,"",0,1)</f>
        <v/>
      </c>
      <c r="H3" t="str">
        <f>_xlfn.XLOOKUP(B3,Sheet2!S$3:S$9,Sheet2!T$3:T$9,"",0,1)</f>
        <v/>
      </c>
      <c r="I3" t="str">
        <f>_xlfn.XLOOKUP(B3,Sheet2!V$3:V$10,Sheet2!W$3:W$10,"",0,1)</f>
        <v/>
      </c>
      <c r="J3" t="str">
        <f>_xlfn.XLOOKUP(B3,Sheet2!Z$3:Z$7,Sheet2!AA$3:AA$7,"",0,1)</f>
        <v/>
      </c>
      <c r="K3" t="str">
        <f>_xlfn.XLOOKUP(B3,Sheet2!B$19:B$30,Sheet2!C$19:C$30,"",0,1)</f>
        <v/>
      </c>
      <c r="L3" t="str">
        <f>_xlfn.XLOOKUP(B3,Sheet2!E$19:E$22,Sheet2!F$19:F$22,"",0,1)</f>
        <v/>
      </c>
      <c r="M3" t="str">
        <f>_xlfn.XLOOKUP(B3,Sheet2!H$19:H$26,Sheet2!I$19:I$26,"",0,1)</f>
        <v/>
      </c>
      <c r="N3" t="str">
        <f>_xlfn.XLOOKUP(B3,Sheet2!L$19:L$23,Sheet2!M$19:M$23,"",0,1)</f>
        <v/>
      </c>
      <c r="O3" t="str">
        <f>_xlfn.XLOOKUP(B3,Sheet2!P$19:P$21,Sheet2!Q$19:Q$21,"",0,1)</f>
        <v/>
      </c>
      <c r="P3" t="str">
        <f>_xlfn.XLOOKUP(B3,Sheet2!S$19:S$22,Sheet2!T$19:T$22,"",0,1)</f>
        <v/>
      </c>
      <c r="Q3" t="str">
        <f>_xlfn.XLOOKUP(B3,Sheet2!V$19:V$21,Sheet2!W$19:W$21,"",0,1)</f>
        <v/>
      </c>
      <c r="R3" s="20" t="str">
        <f>_xlfn.XLOOKUP(B3,Sheet2!Z$19:Z$24,Sheet2!AA$19:AA$24,"",0,1)</f>
        <v/>
      </c>
    </row>
    <row r="4" spans="2:18" x14ac:dyDescent="0.2">
      <c r="B4" s="5" t="s">
        <v>47</v>
      </c>
      <c r="C4" t="str">
        <f>_xlfn.XLOOKUP(B4,Sheet2!B$3:B$13,Sheet2!C$3:C$13,"",0,1)</f>
        <v/>
      </c>
      <c r="D4" t="str">
        <f>_xlfn.XLOOKUP(B4,Sheet2!E$3:E$5,Sheet2!F$3:F$5,"",0,1)</f>
        <v/>
      </c>
      <c r="E4">
        <f>_xlfn.XLOOKUP(B4,Sheet2!H$3:H$8,Sheet2!I$3:I$8,"",0,1)</f>
        <v>4</v>
      </c>
      <c r="F4" t="str">
        <f>_xlfn.XLOOKUP(B4,Sheet2!L$3:L$8,Sheet2!M$3:M$8,"",0,1)</f>
        <v/>
      </c>
      <c r="G4" t="str">
        <f>_xlfn.XLOOKUP(B4,Sheet2!P$3:P$8,Sheet2!Q$3:Q$8,"",0,1)</f>
        <v/>
      </c>
      <c r="H4" t="str">
        <f>_xlfn.XLOOKUP(B4,Sheet2!S$3:S$9,Sheet2!T$3:T$9,"",0,1)</f>
        <v/>
      </c>
      <c r="I4" t="str">
        <f>_xlfn.XLOOKUP(B4,Sheet2!V$3:V$10,Sheet2!W$3:W$10,"",0,1)</f>
        <v/>
      </c>
      <c r="J4" t="str">
        <f>_xlfn.XLOOKUP(B4,Sheet2!Z$3:Z$7,Sheet2!AA$3:AA$7,"",0,1)</f>
        <v/>
      </c>
      <c r="K4" t="str">
        <f>_xlfn.XLOOKUP(B4,Sheet2!B$19:B$30,Sheet2!C$19:C$30,"",0,1)</f>
        <v/>
      </c>
      <c r="L4" t="str">
        <f>_xlfn.XLOOKUP(B4,Sheet2!E$19:E$22,Sheet2!F$19:F$22,"",0,1)</f>
        <v/>
      </c>
      <c r="M4" t="str">
        <f>_xlfn.XLOOKUP(B4,Sheet2!H$19:H$26,Sheet2!I$19:I$26,"",0,1)</f>
        <v/>
      </c>
      <c r="N4" t="str">
        <f>_xlfn.XLOOKUP(B4,Sheet2!L$19:L$23,Sheet2!M$19:M$23,"",0,1)</f>
        <v/>
      </c>
      <c r="O4" t="str">
        <f>_xlfn.XLOOKUP(B4,Sheet2!P$19:P$21,Sheet2!Q$19:Q$21,"",0,1)</f>
        <v/>
      </c>
      <c r="P4">
        <f>_xlfn.XLOOKUP(B4,Sheet2!S$19:S$22,Sheet2!T$19:T$22,"",0,1)</f>
        <v>4</v>
      </c>
      <c r="Q4" t="str">
        <f>_xlfn.XLOOKUP(B4,Sheet2!V$19:V$21,Sheet2!W$19:W$21,"",0,1)</f>
        <v/>
      </c>
      <c r="R4" s="20" t="str">
        <f>_xlfn.XLOOKUP(B4,Sheet2!Z$19:Z$24,Sheet2!AA$19:AA$24,"",0,1)</f>
        <v/>
      </c>
    </row>
    <row r="5" spans="2:18" x14ac:dyDescent="0.2">
      <c r="B5" s="5" t="s">
        <v>53</v>
      </c>
      <c r="C5" t="str">
        <f>_xlfn.XLOOKUP(B5,Sheet2!B$3:B$13,Sheet2!C$3:C$13,"",0,1)</f>
        <v/>
      </c>
      <c r="D5" t="str">
        <f>_xlfn.XLOOKUP(B5,Sheet2!E$3:E$5,Sheet2!F$3:F$5,"",0,1)</f>
        <v/>
      </c>
      <c r="E5" t="str">
        <f>_xlfn.XLOOKUP(B5,Sheet2!H$3:H$8,Sheet2!I$3:I$8,"",0,1)</f>
        <v/>
      </c>
      <c r="F5">
        <f>_xlfn.XLOOKUP(B5,Sheet2!L$3:L$8,Sheet2!M$3:M$8,"",0,1)</f>
        <v>4</v>
      </c>
      <c r="G5" t="str">
        <f>_xlfn.XLOOKUP(B5,Sheet2!P$3:P$8,Sheet2!Q$3:Q$8,"",0,1)</f>
        <v/>
      </c>
      <c r="H5">
        <f>_xlfn.XLOOKUP(B5,Sheet2!S$3:S$9,Sheet2!T$3:T$9,"",0,1)</f>
        <v>4</v>
      </c>
      <c r="I5">
        <f>_xlfn.XLOOKUP(B5,Sheet2!V$3:V$10,Sheet2!W$3:W$10,"",0,1)</f>
        <v>2</v>
      </c>
      <c r="J5" t="str">
        <f>_xlfn.XLOOKUP(B5,Sheet2!Z$3:Z$7,Sheet2!AA$3:AA$7,"",0,1)</f>
        <v/>
      </c>
      <c r="K5">
        <f>_xlfn.XLOOKUP(B5,Sheet2!B$19:B$30,Sheet2!C$19:C$30,"",0,1)</f>
        <v>2</v>
      </c>
      <c r="L5" t="str">
        <f>_xlfn.XLOOKUP(B5,Sheet2!E$19:E$22,Sheet2!F$19:F$22,"",0,1)</f>
        <v/>
      </c>
      <c r="M5" t="str">
        <f>_xlfn.XLOOKUP(B5,Sheet2!H$19:H$26,Sheet2!I$19:I$26,"",0,1)</f>
        <v/>
      </c>
      <c r="N5" t="str">
        <f>_xlfn.XLOOKUP(B5,Sheet2!L$19:L$23,Sheet2!M$19:M$23,"",0,1)</f>
        <v/>
      </c>
      <c r="O5" t="str">
        <f>_xlfn.XLOOKUP(B5,Sheet2!P$19:P$21,Sheet2!Q$19:Q$21,"",0,1)</f>
        <v/>
      </c>
      <c r="P5" t="str">
        <f>_xlfn.XLOOKUP(B5,Sheet2!S$19:S$22,Sheet2!T$19:T$22,"",0,1)</f>
        <v/>
      </c>
      <c r="Q5" t="str">
        <f>_xlfn.XLOOKUP(B5,Sheet2!V$19:V$21,Sheet2!W$19:W$21,"",0,1)</f>
        <v/>
      </c>
      <c r="R5" s="20" t="str">
        <f>_xlfn.XLOOKUP(B5,Sheet2!Z$19:Z$24,Sheet2!AA$19:AA$24,"",0,1)</f>
        <v/>
      </c>
    </row>
    <row r="6" spans="2:18" x14ac:dyDescent="0.2">
      <c r="B6" s="5" t="s">
        <v>43</v>
      </c>
      <c r="C6">
        <f>_xlfn.XLOOKUP(B6,Sheet2!B$3:B$13,Sheet2!C$3:C$13,"",0,1)</f>
        <v>2</v>
      </c>
      <c r="D6" t="str">
        <f>_xlfn.XLOOKUP(B6,Sheet2!E$3:E$5,Sheet2!F$3:F$5,"",0,1)</f>
        <v/>
      </c>
      <c r="E6" t="str">
        <f>_xlfn.XLOOKUP(B6,Sheet2!H$3:H$8,Sheet2!I$3:I$8,"",0,1)</f>
        <v/>
      </c>
      <c r="F6" t="str">
        <f>_xlfn.XLOOKUP(B6,Sheet2!L$3:L$8,Sheet2!M$3:M$8,"",0,1)</f>
        <v/>
      </c>
      <c r="G6" t="str">
        <f>_xlfn.XLOOKUP(B6,Sheet2!P$3:P$8,Sheet2!Q$3:Q$8,"",0,1)</f>
        <v/>
      </c>
      <c r="H6" t="str">
        <f>_xlfn.XLOOKUP(B6,Sheet2!S$3:S$9,Sheet2!T$3:T$9,"",0,1)</f>
        <v/>
      </c>
      <c r="I6" t="str">
        <f>_xlfn.XLOOKUP(B6,Sheet2!V$3:V$10,Sheet2!W$3:W$10,"",0,1)</f>
        <v/>
      </c>
      <c r="J6" t="str">
        <f>_xlfn.XLOOKUP(B6,Sheet2!Z$3:Z$7,Sheet2!AA$3:AA$7,"",0,1)</f>
        <v/>
      </c>
      <c r="K6" t="str">
        <f>_xlfn.XLOOKUP(B6,Sheet2!B$19:B$30,Sheet2!C$19:C$30,"",0,1)</f>
        <v/>
      </c>
      <c r="L6" t="str">
        <f>_xlfn.XLOOKUP(B6,Sheet2!E$19:E$22,Sheet2!F$19:F$22,"",0,1)</f>
        <v/>
      </c>
      <c r="M6" t="str">
        <f>_xlfn.XLOOKUP(B6,Sheet2!H$19:H$26,Sheet2!I$19:I$26,"",0,1)</f>
        <v/>
      </c>
      <c r="N6" t="str">
        <f>_xlfn.XLOOKUP(B6,Sheet2!L$19:L$23,Sheet2!M$19:M$23,"",0,1)</f>
        <v/>
      </c>
      <c r="O6" t="str">
        <f>_xlfn.XLOOKUP(B6,Sheet2!P$19:P$21,Sheet2!Q$19:Q$21,"",0,1)</f>
        <v/>
      </c>
      <c r="P6" t="str">
        <f>_xlfn.XLOOKUP(B6,Sheet2!S$19:S$22,Sheet2!T$19:T$22,"",0,1)</f>
        <v/>
      </c>
      <c r="Q6" t="str">
        <f>_xlfn.XLOOKUP(B6,Sheet2!V$19:V$21,Sheet2!W$19:W$21,"",0,1)</f>
        <v/>
      </c>
      <c r="R6" s="20">
        <f>_xlfn.XLOOKUP(B6,Sheet2!Z$19:Z$24,Sheet2!AA$19:AA$24,"",0,1)</f>
        <v>2</v>
      </c>
    </row>
    <row r="7" spans="2:18" x14ac:dyDescent="0.2">
      <c r="B7" s="5" t="s">
        <v>69</v>
      </c>
      <c r="C7" t="str">
        <f>_xlfn.XLOOKUP(B7,Sheet2!B$3:B$13,Sheet2!C$3:C$13,"",0,1)</f>
        <v/>
      </c>
      <c r="D7" t="str">
        <f>_xlfn.XLOOKUP(B7,Sheet2!E$3:E$5,Sheet2!F$3:F$5,"",0,1)</f>
        <v/>
      </c>
      <c r="E7" t="str">
        <f>_xlfn.XLOOKUP(B7,Sheet2!H$3:H$8,Sheet2!I$3:I$8,"",0,1)</f>
        <v/>
      </c>
      <c r="F7" t="str">
        <f>_xlfn.XLOOKUP(B7,Sheet2!L$3:L$8,Sheet2!M$3:M$8,"",0,1)</f>
        <v/>
      </c>
      <c r="G7" t="str">
        <f>_xlfn.XLOOKUP(B7,Sheet2!P$3:P$8,Sheet2!Q$3:Q$8,"",0,1)</f>
        <v/>
      </c>
      <c r="H7" t="str">
        <f>_xlfn.XLOOKUP(B7,Sheet2!S$3:S$9,Sheet2!T$3:T$9,"",0,1)</f>
        <v/>
      </c>
      <c r="I7" t="str">
        <f>_xlfn.XLOOKUP(B7,Sheet2!V$3:V$10,Sheet2!W$3:W$10,"",0,1)</f>
        <v/>
      </c>
      <c r="J7" t="str">
        <f>_xlfn.XLOOKUP(B7,Sheet2!Z$3:Z$7,Sheet2!AA$3:AA$7,"",0,1)</f>
        <v/>
      </c>
      <c r="K7">
        <f>_xlfn.XLOOKUP(B7,Sheet2!B$19:B$30,Sheet2!C$19:C$30,"",0,1)</f>
        <v>1</v>
      </c>
      <c r="L7" t="str">
        <f>_xlfn.XLOOKUP(B7,Sheet2!E$19:E$22,Sheet2!F$19:F$22,"",0,1)</f>
        <v/>
      </c>
      <c r="M7">
        <f>_xlfn.XLOOKUP(B7,Sheet2!H$19:H$26,Sheet2!I$19:I$26,"",0,1)</f>
        <v>2</v>
      </c>
      <c r="N7" t="str">
        <f>_xlfn.XLOOKUP(B7,Sheet2!L$19:L$23,Sheet2!M$19:M$23,"",0,1)</f>
        <v/>
      </c>
      <c r="O7" t="str">
        <f>_xlfn.XLOOKUP(B7,Sheet2!P$19:P$21,Sheet2!Q$19:Q$21,"",0,1)</f>
        <v/>
      </c>
      <c r="P7" t="str">
        <f>_xlfn.XLOOKUP(B7,Sheet2!S$19:S$22,Sheet2!T$19:T$22,"",0,1)</f>
        <v/>
      </c>
      <c r="Q7" t="str">
        <f>_xlfn.XLOOKUP(B7,Sheet2!V$19:V$21,Sheet2!W$19:W$21,"",0,1)</f>
        <v/>
      </c>
      <c r="R7" s="20" t="str">
        <f>_xlfn.XLOOKUP(B7,Sheet2!Z$19:Z$24,Sheet2!AA$19:AA$24,"",0,1)</f>
        <v/>
      </c>
    </row>
    <row r="8" spans="2:18" x14ac:dyDescent="0.2">
      <c r="B8" s="5" t="s">
        <v>48</v>
      </c>
      <c r="C8" t="str">
        <f>_xlfn.XLOOKUP(B8,Sheet2!B$3:B$13,Sheet2!C$3:C$13,"",0,1)</f>
        <v/>
      </c>
      <c r="D8" t="str">
        <f>_xlfn.XLOOKUP(B8,Sheet2!E$3:E$5,Sheet2!F$3:F$5,"",0,1)</f>
        <v/>
      </c>
      <c r="E8">
        <f>_xlfn.XLOOKUP(B8,Sheet2!H$3:H$8,Sheet2!I$3:I$8,"",0,1)</f>
        <v>6</v>
      </c>
      <c r="F8" t="str">
        <f>_xlfn.XLOOKUP(B8,Sheet2!L$3:L$8,Sheet2!M$3:M$8,"",0,1)</f>
        <v/>
      </c>
      <c r="G8">
        <f>_xlfn.XLOOKUP(B8,Sheet2!P$3:P$8,Sheet2!Q$3:Q$8,"",0,1)</f>
        <v>2</v>
      </c>
      <c r="H8">
        <f>_xlfn.XLOOKUP(B8,Sheet2!S$3:S$9,Sheet2!T$3:T$9,"",0,1)</f>
        <v>2</v>
      </c>
      <c r="I8" t="str">
        <f>_xlfn.XLOOKUP(B8,Sheet2!V$3:V$10,Sheet2!W$3:W$10,"",0,1)</f>
        <v/>
      </c>
      <c r="J8" t="str">
        <f>_xlfn.XLOOKUP(B8,Sheet2!Z$3:Z$7,Sheet2!AA$3:AA$7,"",0,1)</f>
        <v/>
      </c>
      <c r="K8" t="str">
        <f>_xlfn.XLOOKUP(B8,Sheet2!B$19:B$30,Sheet2!C$19:C$30,"",0,1)</f>
        <v/>
      </c>
      <c r="L8" t="str">
        <f>_xlfn.XLOOKUP(B8,Sheet2!E$19:E$22,Sheet2!F$19:F$22,"",0,1)</f>
        <v/>
      </c>
      <c r="M8" t="str">
        <f>_xlfn.XLOOKUP(B8,Sheet2!H$19:H$26,Sheet2!I$19:I$26,"",0,1)</f>
        <v/>
      </c>
      <c r="N8" t="str">
        <f>_xlfn.XLOOKUP(B8,Sheet2!L$19:L$23,Sheet2!M$19:M$23,"",0,1)</f>
        <v/>
      </c>
      <c r="O8" t="str">
        <f>_xlfn.XLOOKUP(B8,Sheet2!P$19:P$21,Sheet2!Q$19:Q$21,"",0,1)</f>
        <v/>
      </c>
      <c r="P8" t="str">
        <f>_xlfn.XLOOKUP(B8,Sheet2!S$19:S$22,Sheet2!T$19:T$22,"",0,1)</f>
        <v/>
      </c>
      <c r="Q8" t="str">
        <f>_xlfn.XLOOKUP(B8,Sheet2!V$19:V$21,Sheet2!W$19:W$21,"",0,1)</f>
        <v/>
      </c>
      <c r="R8" s="20" t="str">
        <f>_xlfn.XLOOKUP(B8,Sheet2!Z$19:Z$24,Sheet2!AA$19:AA$24,"",0,1)</f>
        <v/>
      </c>
    </row>
    <row r="9" spans="2:18" x14ac:dyDescent="0.2">
      <c r="B9" s="5" t="s">
        <v>42</v>
      </c>
      <c r="C9">
        <f>_xlfn.XLOOKUP(B9,Sheet2!B$3:B$13,Sheet2!C$3:C$13,"",0,1)</f>
        <v>6</v>
      </c>
      <c r="D9" t="str">
        <f>_xlfn.XLOOKUP(B9,Sheet2!E$3:E$5,Sheet2!F$3:F$5,"",0,1)</f>
        <v/>
      </c>
      <c r="E9" t="str">
        <f>_xlfn.XLOOKUP(B9,Sheet2!H$3:H$8,Sheet2!I$3:I$8,"",0,1)</f>
        <v/>
      </c>
      <c r="F9" t="str">
        <f>_xlfn.XLOOKUP(B9,Sheet2!L$3:L$8,Sheet2!M$3:M$8,"",0,1)</f>
        <v/>
      </c>
      <c r="G9">
        <f>_xlfn.XLOOKUP(B9,Sheet2!P$3:P$8,Sheet2!Q$3:Q$8,"",0,1)</f>
        <v>1</v>
      </c>
      <c r="H9">
        <f>_xlfn.XLOOKUP(B9,Sheet2!S$3:S$9,Sheet2!T$3:T$9,"",0,1)</f>
        <v>1</v>
      </c>
      <c r="I9" t="str">
        <f>_xlfn.XLOOKUP(B9,Sheet2!V$3:V$10,Sheet2!W$3:W$10,"",0,1)</f>
        <v/>
      </c>
      <c r="J9" t="str">
        <f>_xlfn.XLOOKUP(B9,Sheet2!Z$3:Z$7,Sheet2!AA$3:AA$7,"",0,1)</f>
        <v/>
      </c>
      <c r="K9" t="str">
        <f>_xlfn.XLOOKUP(B9,Sheet2!B$19:B$30,Sheet2!C$19:C$30,"",0,1)</f>
        <v/>
      </c>
      <c r="L9" t="str">
        <f>_xlfn.XLOOKUP(B9,Sheet2!E$19:E$22,Sheet2!F$19:F$22,"",0,1)</f>
        <v/>
      </c>
      <c r="M9" t="str">
        <f>_xlfn.XLOOKUP(B9,Sheet2!H$19:H$26,Sheet2!I$19:I$26,"",0,1)</f>
        <v/>
      </c>
      <c r="N9" t="str">
        <f>_xlfn.XLOOKUP(B9,Sheet2!L$19:L$23,Sheet2!M$19:M$23,"",0,1)</f>
        <v/>
      </c>
      <c r="O9" t="str">
        <f>_xlfn.XLOOKUP(B9,Sheet2!P$19:P$21,Sheet2!Q$19:Q$21,"",0,1)</f>
        <v/>
      </c>
      <c r="P9" t="str">
        <f>_xlfn.XLOOKUP(B9,Sheet2!S$19:S$22,Sheet2!T$19:T$22,"",0,1)</f>
        <v/>
      </c>
      <c r="Q9" t="str">
        <f>_xlfn.XLOOKUP(B9,Sheet2!V$19:V$21,Sheet2!W$19:W$21,"",0,1)</f>
        <v/>
      </c>
      <c r="R9" s="20" t="str">
        <f>_xlfn.XLOOKUP(B9,Sheet2!Z$19:Z$24,Sheet2!AA$19:AA$24,"",0,1)</f>
        <v/>
      </c>
    </row>
    <row r="10" spans="2:18" x14ac:dyDescent="0.2">
      <c r="B10" s="27" t="s">
        <v>89</v>
      </c>
      <c r="C10" s="28" t="str">
        <f>_xlfn.XLOOKUP(B10,Sheet2!B$3:B$13,Sheet2!C$3:C$13,"",0,1)</f>
        <v/>
      </c>
      <c r="D10" s="28" t="str">
        <f>_xlfn.XLOOKUP(B10,Sheet2!E$3:E$5,Sheet2!F$3:F$5,"",0,1)</f>
        <v/>
      </c>
      <c r="E10" s="28" t="str">
        <f>_xlfn.XLOOKUP(B10,Sheet2!H$3:H$8,Sheet2!I$3:I$8,"",0,1)</f>
        <v/>
      </c>
      <c r="F10" s="28" t="str">
        <f>_xlfn.XLOOKUP(B10,Sheet2!L$3:L$8,Sheet2!M$3:M$8,"",0,1)</f>
        <v/>
      </c>
      <c r="G10" s="28" t="str">
        <f>_xlfn.XLOOKUP(B10,Sheet2!P$3:P$8,Sheet2!Q$3:Q$8,"",0,1)</f>
        <v/>
      </c>
      <c r="H10" s="28" t="str">
        <f>_xlfn.XLOOKUP(B10,Sheet2!S$3:S$9,Sheet2!T$3:T$9,"",0,1)</f>
        <v/>
      </c>
      <c r="I10" s="28" t="str">
        <f>_xlfn.XLOOKUP(B10,Sheet2!V$3:V$10,Sheet2!W$3:W$10,"",0,1)</f>
        <v/>
      </c>
      <c r="J10" s="28" t="str">
        <f>_xlfn.XLOOKUP(B10,Sheet2!Z$3:Z$7,Sheet2!AA$3:AA$7,"",0,1)</f>
        <v/>
      </c>
      <c r="K10" s="28" t="str">
        <f>_xlfn.XLOOKUP(B10,Sheet2!B$19:B$30,Sheet2!C$19:C$30,"",0,1)</f>
        <v/>
      </c>
      <c r="L10" s="28" t="str">
        <f>_xlfn.XLOOKUP(B10,Sheet2!E$19:E$22,Sheet2!F$19:F$22,"",0,1)</f>
        <v/>
      </c>
      <c r="M10" s="28" t="str">
        <f>_xlfn.XLOOKUP(B10,Sheet2!H$19:H$26,Sheet2!I$19:I$26,"",0,1)</f>
        <v/>
      </c>
      <c r="N10" s="28" t="str">
        <f>_xlfn.XLOOKUP(B10,Sheet2!L$19:L$23,Sheet2!M$19:M$23,"",0,1)</f>
        <v/>
      </c>
      <c r="O10" s="28" t="str">
        <f>_xlfn.XLOOKUP(B10,Sheet2!P$19:P$21,Sheet2!Q$19:Q$21,"",0,1)</f>
        <v/>
      </c>
      <c r="P10" s="28" t="str">
        <f>_xlfn.XLOOKUP(B10,Sheet2!S$19:S$22,Sheet2!T$19:T$22,"",0,1)</f>
        <v/>
      </c>
      <c r="Q10" s="28" t="str">
        <f>_xlfn.XLOOKUP(B10,Sheet2!V$19:V$21,Sheet2!W$19:W$21,"",0,1)</f>
        <v/>
      </c>
      <c r="R10" s="29" t="str">
        <f>_xlfn.XLOOKUP(B10,Sheet2!Z$19:Z$24,Sheet2!AA$19:AA$24,"",0,1)</f>
        <v/>
      </c>
    </row>
    <row r="11" spans="2:18" x14ac:dyDescent="0.2">
      <c r="B11" s="5" t="s">
        <v>52</v>
      </c>
      <c r="C11" t="str">
        <f>_xlfn.XLOOKUP(B11,Sheet2!B$3:B$13,Sheet2!C$3:C$13,"",0,1)</f>
        <v/>
      </c>
      <c r="D11" t="str">
        <f>_xlfn.XLOOKUP(B11,Sheet2!E$3:E$5,Sheet2!F$3:F$5,"",0,1)</f>
        <v/>
      </c>
      <c r="E11" t="str">
        <f>_xlfn.XLOOKUP(B11,Sheet2!H$3:H$8,Sheet2!I$3:I$8,"",0,1)</f>
        <v/>
      </c>
      <c r="F11">
        <f>_xlfn.XLOOKUP(B11,Sheet2!L$3:L$8,Sheet2!M$3:M$8,"",0,1)</f>
        <v>2</v>
      </c>
      <c r="G11" t="str">
        <f>_xlfn.XLOOKUP(B11,Sheet2!P$3:P$8,Sheet2!Q$3:Q$8,"",0,1)</f>
        <v/>
      </c>
      <c r="H11" t="str">
        <f>_xlfn.XLOOKUP(B11,Sheet2!S$3:S$9,Sheet2!T$3:T$9,"",0,1)</f>
        <v/>
      </c>
      <c r="I11" t="str">
        <f>_xlfn.XLOOKUP(B11,Sheet2!V$3:V$10,Sheet2!W$3:W$10,"",0,1)</f>
        <v/>
      </c>
      <c r="J11" t="str">
        <f>_xlfn.XLOOKUP(B11,Sheet2!Z$3:Z$7,Sheet2!AA$3:AA$7,"",0,1)</f>
        <v/>
      </c>
      <c r="K11" t="str">
        <f>_xlfn.XLOOKUP(B11,Sheet2!B$19:B$30,Sheet2!C$19:C$30,"",0,1)</f>
        <v/>
      </c>
      <c r="L11" t="str">
        <f>_xlfn.XLOOKUP(B11,Sheet2!E$19:E$22,Sheet2!F$19:F$22,"",0,1)</f>
        <v/>
      </c>
      <c r="M11" t="str">
        <f>_xlfn.XLOOKUP(B11,Sheet2!H$19:H$26,Sheet2!I$19:I$26,"",0,1)</f>
        <v/>
      </c>
      <c r="N11" t="str">
        <f>_xlfn.XLOOKUP(B11,Sheet2!L$19:L$23,Sheet2!M$19:M$23,"",0,1)</f>
        <v/>
      </c>
      <c r="O11" t="str">
        <f>_xlfn.XLOOKUP(B11,Sheet2!P$19:P$21,Sheet2!Q$19:Q$21,"",0,1)</f>
        <v/>
      </c>
      <c r="P11" t="str">
        <f>_xlfn.XLOOKUP(B11,Sheet2!S$19:S$22,Sheet2!T$19:T$22,"",0,1)</f>
        <v/>
      </c>
      <c r="Q11" t="str">
        <f>_xlfn.XLOOKUP(B11,Sheet2!V$19:V$21,Sheet2!W$19:W$21,"",0,1)</f>
        <v/>
      </c>
      <c r="R11" s="20">
        <f>_xlfn.XLOOKUP(B11,Sheet2!Z$19:Z$24,Sheet2!AA$19:AA$24,"",0,1)</f>
        <v>4</v>
      </c>
    </row>
    <row r="12" spans="2:18" x14ac:dyDescent="0.2">
      <c r="B12" s="27" t="s">
        <v>89</v>
      </c>
      <c r="C12" s="28" t="str">
        <f>_xlfn.XLOOKUP(B12,Sheet2!B$3:B$13,Sheet2!C$3:C$13,"",0,1)</f>
        <v/>
      </c>
      <c r="D12" s="28" t="str">
        <f>_xlfn.XLOOKUP(B12,Sheet2!E$3:E$5,Sheet2!F$3:F$5,"",0,1)</f>
        <v/>
      </c>
      <c r="E12" s="28" t="str">
        <f>_xlfn.XLOOKUP(B12,Sheet2!H$3:H$8,Sheet2!I$3:I$8,"",0,1)</f>
        <v/>
      </c>
      <c r="F12" s="28" t="str">
        <f>_xlfn.XLOOKUP(B12,Sheet2!L$3:L$8,Sheet2!M$3:M$8,"",0,1)</f>
        <v/>
      </c>
      <c r="G12" s="28" t="str">
        <f>_xlfn.XLOOKUP(B12,Sheet2!P$3:P$8,Sheet2!Q$3:Q$8,"",0,1)</f>
        <v/>
      </c>
      <c r="H12" s="28" t="str">
        <f>_xlfn.XLOOKUP(B12,Sheet2!S$3:S$9,Sheet2!T$3:T$9,"",0,1)</f>
        <v/>
      </c>
      <c r="I12" s="28" t="str">
        <f>_xlfn.XLOOKUP(B12,Sheet2!V$3:V$10,Sheet2!W$3:W$10,"",0,1)</f>
        <v/>
      </c>
      <c r="J12" s="28" t="str">
        <f>_xlfn.XLOOKUP(B12,Sheet2!Z$3:Z$7,Sheet2!AA$3:AA$7,"",0,1)</f>
        <v/>
      </c>
      <c r="K12" s="28" t="str">
        <f>_xlfn.XLOOKUP(B12,Sheet2!B$19:B$30,Sheet2!C$19:C$30,"",0,1)</f>
        <v/>
      </c>
      <c r="L12" s="28" t="str">
        <f>_xlfn.XLOOKUP(B12,Sheet2!E$19:E$22,Sheet2!F$19:F$22,"",0,1)</f>
        <v/>
      </c>
      <c r="M12" s="28" t="str">
        <f>_xlfn.XLOOKUP(B12,Sheet2!H$19:H$26,Sheet2!I$19:I$26,"",0,1)</f>
        <v/>
      </c>
      <c r="N12" s="28" t="str">
        <f>_xlfn.XLOOKUP(B12,Sheet2!L$19:L$23,Sheet2!M$19:M$23,"",0,1)</f>
        <v/>
      </c>
      <c r="O12" s="28" t="str">
        <f>_xlfn.XLOOKUP(B12,Sheet2!P$19:P$21,Sheet2!Q$19:Q$21,"",0,1)</f>
        <v/>
      </c>
      <c r="P12" s="28" t="str">
        <f>_xlfn.XLOOKUP(B12,Sheet2!S$19:S$22,Sheet2!T$19:T$22,"",0,1)</f>
        <v/>
      </c>
      <c r="Q12" s="28" t="str">
        <f>_xlfn.XLOOKUP(B12,Sheet2!V$19:V$21,Sheet2!W$19:W$21,"",0,1)</f>
        <v/>
      </c>
      <c r="R12" s="29" t="str">
        <f>_xlfn.XLOOKUP(B12,Sheet2!Z$19:Z$24,Sheet2!AA$19:AA$24,"",0,1)</f>
        <v/>
      </c>
    </row>
    <row r="13" spans="2:18" x14ac:dyDescent="0.2">
      <c r="B13" s="5" t="s">
        <v>54</v>
      </c>
      <c r="C13" t="str">
        <f>_xlfn.XLOOKUP(B13,Sheet2!B$3:B$13,Sheet2!C$3:C$13,"",0,1)</f>
        <v/>
      </c>
      <c r="D13" t="str">
        <f>_xlfn.XLOOKUP(B13,Sheet2!E$3:E$5,Sheet2!F$3:F$5,"",0,1)</f>
        <v/>
      </c>
      <c r="E13" t="str">
        <f>_xlfn.XLOOKUP(B13,Sheet2!H$3:H$8,Sheet2!I$3:I$8,"",0,1)</f>
        <v/>
      </c>
      <c r="F13">
        <f>_xlfn.XLOOKUP(B13,Sheet2!L$3:L$8,Sheet2!M$3:M$8,"",0,1)</f>
        <v>2</v>
      </c>
      <c r="G13" t="str">
        <f>_xlfn.XLOOKUP(B13,Sheet2!P$3:P$8,Sheet2!Q$3:Q$8,"",0,1)</f>
        <v/>
      </c>
      <c r="H13" t="str">
        <f>_xlfn.XLOOKUP(B13,Sheet2!S$3:S$9,Sheet2!T$3:T$9,"",0,1)</f>
        <v/>
      </c>
      <c r="I13" t="str">
        <f>_xlfn.XLOOKUP(B13,Sheet2!V$3:V$10,Sheet2!W$3:W$10,"",0,1)</f>
        <v/>
      </c>
      <c r="J13">
        <f>_xlfn.XLOOKUP(B13,Sheet2!Z$3:Z$7,Sheet2!AA$3:AA$7,"",0,1)</f>
        <v>4</v>
      </c>
      <c r="K13" t="str">
        <f>_xlfn.XLOOKUP(B13,Sheet2!B$19:B$30,Sheet2!C$19:C$30,"",0,1)</f>
        <v/>
      </c>
      <c r="L13" t="str">
        <f>_xlfn.XLOOKUP(B13,Sheet2!E$19:E$22,Sheet2!F$19:F$22,"",0,1)</f>
        <v/>
      </c>
      <c r="M13" t="str">
        <f>_xlfn.XLOOKUP(B13,Sheet2!H$19:H$26,Sheet2!I$19:I$26,"",0,1)</f>
        <v/>
      </c>
      <c r="N13" t="str">
        <f>_xlfn.XLOOKUP(B13,Sheet2!L$19:L$23,Sheet2!M$19:M$23,"",0,1)</f>
        <v/>
      </c>
      <c r="O13">
        <f>_xlfn.XLOOKUP(B13,Sheet2!P$19:P$21,Sheet2!Q$19:Q$21,"",0,1)</f>
        <v>2</v>
      </c>
      <c r="P13" t="str">
        <f>_xlfn.XLOOKUP(B13,Sheet2!S$19:S$22,Sheet2!T$19:T$22,"",0,1)</f>
        <v/>
      </c>
      <c r="Q13">
        <f>_xlfn.XLOOKUP(B13,Sheet2!V$19:V$21,Sheet2!W$19:W$21,"",0,1)</f>
        <v>2</v>
      </c>
      <c r="R13" s="20" t="str">
        <f>_xlfn.XLOOKUP(B13,Sheet2!Z$19:Z$24,Sheet2!AA$19:AA$24,"",0,1)</f>
        <v/>
      </c>
    </row>
    <row r="14" spans="2:18" x14ac:dyDescent="0.2">
      <c r="B14" s="5" t="s">
        <v>70</v>
      </c>
      <c r="C14" t="str">
        <f>_xlfn.XLOOKUP(B14,Sheet2!B$3:B$13,Sheet2!C$3:C$13,"",0,1)</f>
        <v/>
      </c>
      <c r="D14" t="str">
        <f>_xlfn.XLOOKUP(B14,Sheet2!E$3:E$5,Sheet2!F$3:F$5,"",0,1)</f>
        <v/>
      </c>
      <c r="E14" t="str">
        <f>_xlfn.XLOOKUP(B14,Sheet2!H$3:H$8,Sheet2!I$3:I$8,"",0,1)</f>
        <v/>
      </c>
      <c r="F14" t="str">
        <f>_xlfn.XLOOKUP(B14,Sheet2!L$3:L$8,Sheet2!M$3:M$8,"",0,1)</f>
        <v/>
      </c>
      <c r="G14" t="str">
        <f>_xlfn.XLOOKUP(B14,Sheet2!P$3:P$8,Sheet2!Q$3:Q$8,"",0,1)</f>
        <v/>
      </c>
      <c r="H14" t="str">
        <f>_xlfn.XLOOKUP(B14,Sheet2!S$3:S$9,Sheet2!T$3:T$9,"",0,1)</f>
        <v/>
      </c>
      <c r="I14" t="str">
        <f>_xlfn.XLOOKUP(B14,Sheet2!V$3:V$10,Sheet2!W$3:W$10,"",0,1)</f>
        <v/>
      </c>
      <c r="J14" t="str">
        <f>_xlfn.XLOOKUP(B14,Sheet2!Z$3:Z$7,Sheet2!AA$3:AA$7,"",0,1)</f>
        <v/>
      </c>
      <c r="K14">
        <f>_xlfn.XLOOKUP(B14,Sheet2!B$19:B$30,Sheet2!C$19:C$30,"",0,1)</f>
        <v>4</v>
      </c>
      <c r="L14">
        <f>_xlfn.XLOOKUP(B14,Sheet2!E$19:E$22,Sheet2!F$19:F$22,"",0,1)</f>
        <v>4</v>
      </c>
      <c r="M14" t="str">
        <f>_xlfn.XLOOKUP(B14,Sheet2!H$19:H$26,Sheet2!I$19:I$26,"",0,1)</f>
        <v/>
      </c>
      <c r="N14" t="str">
        <f>_xlfn.XLOOKUP(B14,Sheet2!L$19:L$23,Sheet2!M$19:M$23,"",0,1)</f>
        <v/>
      </c>
      <c r="O14" t="str">
        <f>_xlfn.XLOOKUP(B14,Sheet2!P$19:P$21,Sheet2!Q$19:Q$21,"",0,1)</f>
        <v/>
      </c>
      <c r="P14" t="str">
        <f>_xlfn.XLOOKUP(B14,Sheet2!S$19:S$22,Sheet2!T$19:T$22,"",0,1)</f>
        <v/>
      </c>
      <c r="Q14" t="str">
        <f>_xlfn.XLOOKUP(B14,Sheet2!V$19:V$21,Sheet2!W$19:W$21,"",0,1)</f>
        <v/>
      </c>
      <c r="R14" s="20" t="str">
        <f>_xlfn.XLOOKUP(B14,Sheet2!Z$19:Z$24,Sheet2!AA$19:AA$24,"",0,1)</f>
        <v/>
      </c>
    </row>
    <row r="15" spans="2:18" x14ac:dyDescent="0.2">
      <c r="B15" s="5" t="s">
        <v>67</v>
      </c>
      <c r="C15" t="str">
        <f>_xlfn.XLOOKUP(B15,Sheet2!B$3:B$13,Sheet2!C$3:C$13,"",0,1)</f>
        <v/>
      </c>
      <c r="D15" t="str">
        <f>_xlfn.XLOOKUP(B15,Sheet2!E$3:E$5,Sheet2!F$3:F$5,"",0,1)</f>
        <v/>
      </c>
      <c r="E15" t="str">
        <f>_xlfn.XLOOKUP(B15,Sheet2!H$3:H$8,Sheet2!I$3:I$8,"",0,1)</f>
        <v/>
      </c>
      <c r="F15" t="str">
        <f>_xlfn.XLOOKUP(B15,Sheet2!L$3:L$8,Sheet2!M$3:M$8,"",0,1)</f>
        <v/>
      </c>
      <c r="G15" t="str">
        <f>_xlfn.XLOOKUP(B15,Sheet2!P$3:P$8,Sheet2!Q$3:Q$8,"",0,1)</f>
        <v/>
      </c>
      <c r="H15" t="str">
        <f>_xlfn.XLOOKUP(B15,Sheet2!S$3:S$9,Sheet2!T$3:T$9,"",0,1)</f>
        <v/>
      </c>
      <c r="I15" t="str">
        <f>_xlfn.XLOOKUP(B15,Sheet2!V$3:V$10,Sheet2!W$3:W$10,"",0,1)</f>
        <v/>
      </c>
      <c r="J15">
        <f>_xlfn.XLOOKUP(B15,Sheet2!Z$3:Z$7,Sheet2!AA$3:AA$7,"",0,1)</f>
        <v>4</v>
      </c>
      <c r="K15" t="str">
        <f>_xlfn.XLOOKUP(B15,Sheet2!B$19:B$30,Sheet2!C$19:C$30,"",0,1)</f>
        <v/>
      </c>
      <c r="L15" t="str">
        <f>_xlfn.XLOOKUP(B15,Sheet2!E$19:E$22,Sheet2!F$19:F$22,"",0,1)</f>
        <v/>
      </c>
      <c r="M15" t="str">
        <f>_xlfn.XLOOKUP(B15,Sheet2!H$19:H$26,Sheet2!I$19:I$26,"",0,1)</f>
        <v/>
      </c>
      <c r="N15" t="str">
        <f>_xlfn.XLOOKUP(B15,Sheet2!L$19:L$23,Sheet2!M$19:M$23,"",0,1)</f>
        <v/>
      </c>
      <c r="O15" t="str">
        <f>_xlfn.XLOOKUP(B15,Sheet2!P$19:P$21,Sheet2!Q$19:Q$21,"",0,1)</f>
        <v/>
      </c>
      <c r="P15" t="str">
        <f>_xlfn.XLOOKUP(B15,Sheet2!S$19:S$22,Sheet2!T$19:T$22,"",0,1)</f>
        <v/>
      </c>
      <c r="Q15" t="str">
        <f>_xlfn.XLOOKUP(B15,Sheet2!V$19:V$21,Sheet2!W$19:W$21,"",0,1)</f>
        <v/>
      </c>
      <c r="R15" s="20" t="str">
        <f>_xlfn.XLOOKUP(B15,Sheet2!Z$19:Z$24,Sheet2!AA$19:AA$24,"",0,1)</f>
        <v/>
      </c>
    </row>
    <row r="16" spans="2:18" x14ac:dyDescent="0.2">
      <c r="B16" s="5" t="s">
        <v>72</v>
      </c>
      <c r="C16" t="str">
        <f>_xlfn.XLOOKUP(B16,Sheet2!B$3:B$13,Sheet2!C$3:C$13,"",0,1)</f>
        <v/>
      </c>
      <c r="D16" t="str">
        <f>_xlfn.XLOOKUP(B16,Sheet2!E$3:E$5,Sheet2!F$3:F$5,"",0,1)</f>
        <v/>
      </c>
      <c r="E16" t="str">
        <f>_xlfn.XLOOKUP(B16,Sheet2!H$3:H$8,Sheet2!I$3:I$8,"",0,1)</f>
        <v/>
      </c>
      <c r="F16" t="str">
        <f>_xlfn.XLOOKUP(B16,Sheet2!L$3:L$8,Sheet2!M$3:M$8,"",0,1)</f>
        <v/>
      </c>
      <c r="G16" t="str">
        <f>_xlfn.XLOOKUP(B16,Sheet2!P$3:P$8,Sheet2!Q$3:Q$8,"",0,1)</f>
        <v/>
      </c>
      <c r="H16" t="str">
        <f>_xlfn.XLOOKUP(B16,Sheet2!S$3:S$9,Sheet2!T$3:T$9,"",0,1)</f>
        <v/>
      </c>
      <c r="I16" t="str">
        <f>_xlfn.XLOOKUP(B16,Sheet2!V$3:V$10,Sheet2!W$3:W$10,"",0,1)</f>
        <v/>
      </c>
      <c r="J16" t="str">
        <f>_xlfn.XLOOKUP(B16,Sheet2!Z$3:Z$7,Sheet2!AA$3:AA$7,"",0,1)</f>
        <v/>
      </c>
      <c r="K16" t="str">
        <f>_xlfn.XLOOKUP(B16,Sheet2!B$19:B$30,Sheet2!C$19:C$30,"",0,1)</f>
        <v/>
      </c>
      <c r="L16">
        <f>_xlfn.XLOOKUP(B16,Sheet2!E$19:E$22,Sheet2!F$19:F$22,"",0,1)</f>
        <v>2</v>
      </c>
      <c r="M16">
        <f>_xlfn.XLOOKUP(B16,Sheet2!H$19:H$26,Sheet2!I$19:I$26,"",0,1)</f>
        <v>2</v>
      </c>
      <c r="N16">
        <f>_xlfn.XLOOKUP(B16,Sheet2!L$19:L$23,Sheet2!M$19:M$23,"",0,1)</f>
        <v>2</v>
      </c>
      <c r="O16" t="str">
        <f>_xlfn.XLOOKUP(B16,Sheet2!P$19:P$21,Sheet2!Q$19:Q$21,"",0,1)</f>
        <v/>
      </c>
      <c r="P16" t="str">
        <f>_xlfn.XLOOKUP(B16,Sheet2!S$19:S$22,Sheet2!T$19:T$22,"",0,1)</f>
        <v/>
      </c>
      <c r="Q16" t="str">
        <f>_xlfn.XLOOKUP(B16,Sheet2!V$19:V$21,Sheet2!W$19:W$21,"",0,1)</f>
        <v/>
      </c>
      <c r="R16" s="20" t="str">
        <f>_xlfn.XLOOKUP(B16,Sheet2!Z$19:Z$24,Sheet2!AA$19:AA$24,"",0,1)</f>
        <v/>
      </c>
    </row>
    <row r="17" spans="2:18" x14ac:dyDescent="0.2">
      <c r="B17" s="5" t="s">
        <v>74</v>
      </c>
      <c r="C17" t="str">
        <f>_xlfn.XLOOKUP(B17,Sheet2!B$3:B$13,Sheet2!C$3:C$13,"",0,1)</f>
        <v/>
      </c>
      <c r="D17" t="str">
        <f>_xlfn.XLOOKUP(B17,Sheet2!E$3:E$5,Sheet2!F$3:F$5,"",0,1)</f>
        <v/>
      </c>
      <c r="E17" t="str">
        <f>_xlfn.XLOOKUP(B17,Sheet2!H$3:H$8,Sheet2!I$3:I$8,"",0,1)</f>
        <v/>
      </c>
      <c r="F17" t="str">
        <f>_xlfn.XLOOKUP(B17,Sheet2!L$3:L$8,Sheet2!M$3:M$8,"",0,1)</f>
        <v/>
      </c>
      <c r="G17" t="str">
        <f>_xlfn.XLOOKUP(B17,Sheet2!P$3:P$8,Sheet2!Q$3:Q$8,"",0,1)</f>
        <v/>
      </c>
      <c r="H17" t="str">
        <f>_xlfn.XLOOKUP(B17,Sheet2!S$3:S$9,Sheet2!T$3:T$9,"",0,1)</f>
        <v/>
      </c>
      <c r="I17" t="str">
        <f>_xlfn.XLOOKUP(B17,Sheet2!V$3:V$10,Sheet2!W$3:W$10,"",0,1)</f>
        <v/>
      </c>
      <c r="J17" t="str">
        <f>_xlfn.XLOOKUP(B17,Sheet2!Z$3:Z$7,Sheet2!AA$3:AA$7,"",0,1)</f>
        <v/>
      </c>
      <c r="K17" t="str">
        <f>_xlfn.XLOOKUP(B17,Sheet2!B$19:B$30,Sheet2!C$19:C$30,"",0,1)</f>
        <v/>
      </c>
      <c r="L17" t="str">
        <f>_xlfn.XLOOKUP(B17,Sheet2!E$19:E$22,Sheet2!F$19:F$22,"",0,1)</f>
        <v/>
      </c>
      <c r="M17">
        <f>_xlfn.XLOOKUP(B17,Sheet2!H$19:H$26,Sheet2!I$19:I$26,"",0,1)</f>
        <v>2</v>
      </c>
      <c r="N17">
        <f>_xlfn.XLOOKUP(B17,Sheet2!L$19:L$23,Sheet2!M$19:M$23,"",0,1)</f>
        <v>2</v>
      </c>
      <c r="O17" t="str">
        <f>_xlfn.XLOOKUP(B17,Sheet2!P$19:P$21,Sheet2!Q$19:Q$21,"",0,1)</f>
        <v/>
      </c>
      <c r="P17" t="str">
        <f>_xlfn.XLOOKUP(B17,Sheet2!S$19:S$22,Sheet2!T$19:T$22,"",0,1)</f>
        <v/>
      </c>
      <c r="Q17" t="str">
        <f>_xlfn.XLOOKUP(B17,Sheet2!V$19:V$21,Sheet2!W$19:W$21,"",0,1)</f>
        <v/>
      </c>
      <c r="R17" s="20" t="str">
        <f>_xlfn.XLOOKUP(B17,Sheet2!Z$19:Z$24,Sheet2!AA$19:AA$24,"",0,1)</f>
        <v/>
      </c>
    </row>
    <row r="18" spans="2:18" x14ac:dyDescent="0.2">
      <c r="B18" s="5" t="s">
        <v>76</v>
      </c>
      <c r="C18" t="str">
        <f>_xlfn.XLOOKUP(B18,Sheet2!B$3:B$13,Sheet2!C$3:C$13,"",0,1)</f>
        <v/>
      </c>
      <c r="D18" t="str">
        <f>_xlfn.XLOOKUP(B18,Sheet2!E$3:E$5,Sheet2!F$3:F$5,"",0,1)</f>
        <v/>
      </c>
      <c r="E18" t="str">
        <f>_xlfn.XLOOKUP(B18,Sheet2!H$3:H$8,Sheet2!I$3:I$8,"",0,1)</f>
        <v/>
      </c>
      <c r="F18" t="str">
        <f>_xlfn.XLOOKUP(B18,Sheet2!L$3:L$8,Sheet2!M$3:M$8,"",0,1)</f>
        <v/>
      </c>
      <c r="G18" t="str">
        <f>_xlfn.XLOOKUP(B18,Sheet2!P$3:P$8,Sheet2!Q$3:Q$8,"",0,1)</f>
        <v/>
      </c>
      <c r="H18" t="str">
        <f>_xlfn.XLOOKUP(B18,Sheet2!S$3:S$9,Sheet2!T$3:T$9,"",0,1)</f>
        <v/>
      </c>
      <c r="I18" t="str">
        <f>_xlfn.XLOOKUP(B18,Sheet2!V$3:V$10,Sheet2!W$3:W$10,"",0,1)</f>
        <v/>
      </c>
      <c r="J18" t="str">
        <f>_xlfn.XLOOKUP(B18,Sheet2!Z$3:Z$7,Sheet2!AA$3:AA$7,"",0,1)</f>
        <v/>
      </c>
      <c r="K18" t="str">
        <f>_xlfn.XLOOKUP(B18,Sheet2!B$19:B$30,Sheet2!C$19:C$30,"",0,1)</f>
        <v/>
      </c>
      <c r="L18" t="str">
        <f>_xlfn.XLOOKUP(B18,Sheet2!E$19:E$22,Sheet2!F$19:F$22,"",0,1)</f>
        <v/>
      </c>
      <c r="M18">
        <f>_xlfn.XLOOKUP(B18,Sheet2!H$19:H$26,Sheet2!I$19:I$26,"",0,1)</f>
        <v>2</v>
      </c>
      <c r="N18">
        <f>_xlfn.XLOOKUP(B18,Sheet2!L$19:L$23,Sheet2!M$19:M$23,"",0,1)</f>
        <v>2</v>
      </c>
      <c r="O18" t="str">
        <f>_xlfn.XLOOKUP(B18,Sheet2!P$19:P$21,Sheet2!Q$19:Q$21,"",0,1)</f>
        <v/>
      </c>
      <c r="P18" t="str">
        <f>_xlfn.XLOOKUP(B18,Sheet2!S$19:S$22,Sheet2!T$19:T$22,"",0,1)</f>
        <v/>
      </c>
      <c r="Q18" t="str">
        <f>_xlfn.XLOOKUP(B18,Sheet2!V$19:V$21,Sheet2!W$19:W$21,"",0,1)</f>
        <v/>
      </c>
      <c r="R18" s="20" t="str">
        <f>_xlfn.XLOOKUP(B18,Sheet2!Z$19:Z$24,Sheet2!AA$19:AA$24,"",0,1)</f>
        <v/>
      </c>
    </row>
    <row r="19" spans="2:18" x14ac:dyDescent="0.2">
      <c r="B19" s="27" t="s">
        <v>89</v>
      </c>
      <c r="C19" s="28" t="str">
        <f>_xlfn.XLOOKUP(B19,Sheet2!B$3:B$13,Sheet2!C$3:C$13,"",0,1)</f>
        <v/>
      </c>
      <c r="D19" s="28" t="str">
        <f>_xlfn.XLOOKUP(B19,Sheet2!E$3:E$5,Sheet2!F$3:F$5,"",0,1)</f>
        <v/>
      </c>
      <c r="E19" s="28" t="str">
        <f>_xlfn.XLOOKUP(B19,Sheet2!H$3:H$8,Sheet2!I$3:I$8,"",0,1)</f>
        <v/>
      </c>
      <c r="F19" s="28" t="str">
        <f>_xlfn.XLOOKUP(B19,Sheet2!L$3:L$8,Sheet2!M$3:M$8,"",0,1)</f>
        <v/>
      </c>
      <c r="G19" s="28" t="str">
        <f>_xlfn.XLOOKUP(B19,Sheet2!P$3:P$8,Sheet2!Q$3:Q$8,"",0,1)</f>
        <v/>
      </c>
      <c r="H19" s="28" t="str">
        <f>_xlfn.XLOOKUP(B19,Sheet2!S$3:S$9,Sheet2!T$3:T$9,"",0,1)</f>
        <v/>
      </c>
      <c r="I19" s="28" t="str">
        <f>_xlfn.XLOOKUP(B19,Sheet2!V$3:V$10,Sheet2!W$3:W$10,"",0,1)</f>
        <v/>
      </c>
      <c r="J19" s="28" t="str">
        <f>_xlfn.XLOOKUP(B19,Sheet2!Z$3:Z$7,Sheet2!AA$3:AA$7,"",0,1)</f>
        <v/>
      </c>
      <c r="K19" s="28" t="str">
        <f>_xlfn.XLOOKUP(B19,Sheet2!B$19:B$30,Sheet2!C$19:C$30,"",0,1)</f>
        <v/>
      </c>
      <c r="L19" s="28" t="str">
        <f>_xlfn.XLOOKUP(B19,Sheet2!E$19:E$22,Sheet2!F$19:F$22,"",0,1)</f>
        <v/>
      </c>
      <c r="M19" s="28" t="str">
        <f>_xlfn.XLOOKUP(B19,Sheet2!H$19:H$26,Sheet2!I$19:I$26,"",0,1)</f>
        <v/>
      </c>
      <c r="N19" s="28" t="str">
        <f>_xlfn.XLOOKUP(B19,Sheet2!L$19:L$23,Sheet2!M$19:M$23,"",0,1)</f>
        <v/>
      </c>
      <c r="O19" s="28" t="str">
        <f>_xlfn.XLOOKUP(B19,Sheet2!P$19:P$21,Sheet2!Q$19:Q$21,"",0,1)</f>
        <v/>
      </c>
      <c r="P19" s="28" t="str">
        <f>_xlfn.XLOOKUP(B19,Sheet2!S$19:S$22,Sheet2!T$19:T$22,"",0,1)</f>
        <v/>
      </c>
      <c r="Q19" s="28" t="str">
        <f>_xlfn.XLOOKUP(B19,Sheet2!V$19:V$21,Sheet2!W$19:W$21,"",0,1)</f>
        <v/>
      </c>
      <c r="R19" s="29" t="str">
        <f>_xlfn.XLOOKUP(B19,Sheet2!Z$19:Z$24,Sheet2!AA$19:AA$24,"",0,1)</f>
        <v/>
      </c>
    </row>
    <row r="20" spans="2:18" x14ac:dyDescent="0.2">
      <c r="B20" s="5" t="s">
        <v>60</v>
      </c>
      <c r="C20" t="str">
        <f>_xlfn.XLOOKUP(B20,Sheet2!B$3:B$13,Sheet2!C$3:C$13,"",0,1)</f>
        <v/>
      </c>
      <c r="D20" t="str">
        <f>_xlfn.XLOOKUP(B20,Sheet2!E$3:E$5,Sheet2!F$3:F$5,"",0,1)</f>
        <v/>
      </c>
      <c r="E20" t="str">
        <f>_xlfn.XLOOKUP(B20,Sheet2!H$3:H$8,Sheet2!I$3:I$8,"",0,1)</f>
        <v/>
      </c>
      <c r="F20" t="str">
        <f>_xlfn.XLOOKUP(B20,Sheet2!L$3:L$8,Sheet2!M$3:M$8,"",0,1)</f>
        <v/>
      </c>
      <c r="G20" t="str">
        <f>_xlfn.XLOOKUP(B20,Sheet2!P$3:P$8,Sheet2!Q$3:Q$8,"",0,1)</f>
        <v/>
      </c>
      <c r="H20" t="str">
        <f>_xlfn.XLOOKUP(B20,Sheet2!S$3:S$9,Sheet2!T$3:T$9,"",0,1)</f>
        <v/>
      </c>
      <c r="I20">
        <f>_xlfn.XLOOKUP(B20,Sheet2!V$3:V$10,Sheet2!W$3:W$10,"",0,1)</f>
        <v>1</v>
      </c>
      <c r="J20" t="str">
        <f>_xlfn.XLOOKUP(B20,Sheet2!Z$3:Z$7,Sheet2!AA$3:AA$7,"",0,1)</f>
        <v/>
      </c>
      <c r="K20" t="str">
        <f>_xlfn.XLOOKUP(B20,Sheet2!B$19:B$30,Sheet2!C$19:C$30,"",0,1)</f>
        <v/>
      </c>
      <c r="L20" t="str">
        <f>_xlfn.XLOOKUP(B20,Sheet2!E$19:E$22,Sheet2!F$19:F$22,"",0,1)</f>
        <v/>
      </c>
      <c r="M20" t="str">
        <f>_xlfn.XLOOKUP(B20,Sheet2!H$19:H$26,Sheet2!I$19:I$26,"",0,1)</f>
        <v/>
      </c>
      <c r="N20" t="str">
        <f>_xlfn.XLOOKUP(B20,Sheet2!L$19:L$23,Sheet2!M$19:M$23,"",0,1)</f>
        <v/>
      </c>
      <c r="O20" t="str">
        <f>_xlfn.XLOOKUP(B20,Sheet2!P$19:P$21,Sheet2!Q$19:Q$21,"",0,1)</f>
        <v/>
      </c>
      <c r="P20" t="str">
        <f>_xlfn.XLOOKUP(B20,Sheet2!S$19:S$22,Sheet2!T$19:T$22,"",0,1)</f>
        <v/>
      </c>
      <c r="Q20" t="str">
        <f>_xlfn.XLOOKUP(B20,Sheet2!V$19:V$21,Sheet2!W$19:W$21,"",0,1)</f>
        <v/>
      </c>
      <c r="R20" s="20" t="str">
        <f>_xlfn.XLOOKUP(B20,Sheet2!Z$19:Z$24,Sheet2!AA$19:AA$24,"",0,1)</f>
        <v/>
      </c>
    </row>
    <row r="21" spans="2:18" x14ac:dyDescent="0.2">
      <c r="B21" s="5" t="s">
        <v>61</v>
      </c>
      <c r="C21" t="str">
        <f>_xlfn.XLOOKUP(B21,Sheet2!B$3:B$13,Sheet2!C$3:C$13,"",0,1)</f>
        <v/>
      </c>
      <c r="D21" t="str">
        <f>_xlfn.XLOOKUP(B21,Sheet2!E$3:E$5,Sheet2!F$3:F$5,"",0,1)</f>
        <v/>
      </c>
      <c r="E21" t="str">
        <f>_xlfn.XLOOKUP(B21,Sheet2!H$3:H$8,Sheet2!I$3:I$8,"",0,1)</f>
        <v/>
      </c>
      <c r="F21" t="str">
        <f>_xlfn.XLOOKUP(B21,Sheet2!L$3:L$8,Sheet2!M$3:M$8,"",0,1)</f>
        <v/>
      </c>
      <c r="G21" t="str">
        <f>_xlfn.XLOOKUP(B21,Sheet2!P$3:P$8,Sheet2!Q$3:Q$8,"",0,1)</f>
        <v/>
      </c>
      <c r="H21" t="str">
        <f>_xlfn.XLOOKUP(B21,Sheet2!S$3:S$9,Sheet2!T$3:T$9,"",0,1)</f>
        <v/>
      </c>
      <c r="I21">
        <f>_xlfn.XLOOKUP(B21,Sheet2!V$3:V$10,Sheet2!W$3:W$10,"",0,1)</f>
        <v>1</v>
      </c>
      <c r="J21" t="str">
        <f>_xlfn.XLOOKUP(B21,Sheet2!Z$3:Z$7,Sheet2!AA$3:AA$7,"",0,1)</f>
        <v/>
      </c>
      <c r="K21" t="str">
        <f>_xlfn.XLOOKUP(B21,Sheet2!B$19:B$30,Sheet2!C$19:C$30,"",0,1)</f>
        <v/>
      </c>
      <c r="L21" t="str">
        <f>_xlfn.XLOOKUP(B21,Sheet2!E$19:E$22,Sheet2!F$19:F$22,"",0,1)</f>
        <v/>
      </c>
      <c r="M21" t="str">
        <f>_xlfn.XLOOKUP(B21,Sheet2!H$19:H$26,Sheet2!I$19:I$26,"",0,1)</f>
        <v/>
      </c>
      <c r="N21" t="str">
        <f>_xlfn.XLOOKUP(B21,Sheet2!L$19:L$23,Sheet2!M$19:M$23,"",0,1)</f>
        <v/>
      </c>
      <c r="O21" t="str">
        <f>_xlfn.XLOOKUP(B21,Sheet2!P$19:P$21,Sheet2!Q$19:Q$21,"",0,1)</f>
        <v/>
      </c>
      <c r="P21" t="str">
        <f>_xlfn.XLOOKUP(B21,Sheet2!S$19:S$22,Sheet2!T$19:T$22,"",0,1)</f>
        <v/>
      </c>
      <c r="Q21" t="str">
        <f>_xlfn.XLOOKUP(B21,Sheet2!V$19:V$21,Sheet2!W$19:W$21,"",0,1)</f>
        <v/>
      </c>
      <c r="R21" s="20" t="str">
        <f>_xlfn.XLOOKUP(B21,Sheet2!Z$19:Z$24,Sheet2!AA$19:AA$24,"",0,1)</f>
        <v/>
      </c>
    </row>
    <row r="22" spans="2:18" x14ac:dyDescent="0.2">
      <c r="B22" s="27" t="s">
        <v>89</v>
      </c>
      <c r="C22" s="28" t="str">
        <f>_xlfn.XLOOKUP(B22,Sheet2!B$3:B$13,Sheet2!C$3:C$13,"",0,1)</f>
        <v/>
      </c>
      <c r="D22" s="28" t="str">
        <f>_xlfn.XLOOKUP(B22,Sheet2!E$3:E$5,Sheet2!F$3:F$5,"",0,1)</f>
        <v/>
      </c>
      <c r="E22" s="28" t="str">
        <f>_xlfn.XLOOKUP(B22,Sheet2!H$3:H$8,Sheet2!I$3:I$8,"",0,1)</f>
        <v/>
      </c>
      <c r="F22" s="28" t="str">
        <f>_xlfn.XLOOKUP(B22,Sheet2!L$3:L$8,Sheet2!M$3:M$8,"",0,1)</f>
        <v/>
      </c>
      <c r="G22" s="28" t="str">
        <f>_xlfn.XLOOKUP(B22,Sheet2!P$3:P$8,Sheet2!Q$3:Q$8,"",0,1)</f>
        <v/>
      </c>
      <c r="H22" s="28" t="str">
        <f>_xlfn.XLOOKUP(B22,Sheet2!S$3:S$9,Sheet2!T$3:T$9,"",0,1)</f>
        <v/>
      </c>
      <c r="I22" s="28" t="str">
        <f>_xlfn.XLOOKUP(B22,Sheet2!V$3:V$10,Sheet2!W$3:W$10,"",0,1)</f>
        <v/>
      </c>
      <c r="J22" s="28" t="str">
        <f>_xlfn.XLOOKUP(B22,Sheet2!Z$3:Z$7,Sheet2!AA$3:AA$7,"",0,1)</f>
        <v/>
      </c>
      <c r="K22" s="28" t="str">
        <f>_xlfn.XLOOKUP(B22,Sheet2!B$19:B$30,Sheet2!C$19:C$30,"",0,1)</f>
        <v/>
      </c>
      <c r="L22" s="28" t="str">
        <f>_xlfn.XLOOKUP(B22,Sheet2!E$19:E$22,Sheet2!F$19:F$22,"",0,1)</f>
        <v/>
      </c>
      <c r="M22" s="28" t="str">
        <f>_xlfn.XLOOKUP(B22,Sheet2!H$19:H$26,Sheet2!I$19:I$26,"",0,1)</f>
        <v/>
      </c>
      <c r="N22" s="28" t="str">
        <f>_xlfn.XLOOKUP(B22,Sheet2!L$19:L$23,Sheet2!M$19:M$23,"",0,1)</f>
        <v/>
      </c>
      <c r="O22" s="28" t="str">
        <f>_xlfn.XLOOKUP(B22,Sheet2!P$19:P$21,Sheet2!Q$19:Q$21,"",0,1)</f>
        <v/>
      </c>
      <c r="P22" s="28" t="str">
        <f>_xlfn.XLOOKUP(B22,Sheet2!S$19:S$22,Sheet2!T$19:T$22,"",0,1)</f>
        <v/>
      </c>
      <c r="Q22" s="28" t="str">
        <f>_xlfn.XLOOKUP(B22,Sheet2!V$19:V$21,Sheet2!W$19:W$21,"",0,1)</f>
        <v/>
      </c>
      <c r="R22" s="29" t="str">
        <f>_xlfn.XLOOKUP(B22,Sheet2!Z$19:Z$24,Sheet2!AA$19:AA$24,"",0,1)</f>
        <v/>
      </c>
    </row>
    <row r="23" spans="2:18" x14ac:dyDescent="0.2">
      <c r="B23" s="5" t="s">
        <v>39</v>
      </c>
      <c r="C23" t="str">
        <f>_xlfn.XLOOKUP(B23,Sheet2!B$3:B$13,Sheet2!C$3:C$13,"",0,1)</f>
        <v/>
      </c>
      <c r="D23" t="str">
        <f>_xlfn.XLOOKUP(B23,Sheet2!E$3:E$5,Sheet2!F$3:F$5,"",0,1)</f>
        <v/>
      </c>
      <c r="E23" t="str">
        <f>_xlfn.XLOOKUP(B23,Sheet2!H$3:H$8,Sheet2!I$3:I$8,"",0,1)</f>
        <v/>
      </c>
      <c r="F23" t="str">
        <f>_xlfn.XLOOKUP(B23,Sheet2!L$3:L$8,Sheet2!M$3:M$8,"",0,1)</f>
        <v/>
      </c>
      <c r="G23" t="str">
        <f>_xlfn.XLOOKUP(B23,Sheet2!P$3:P$8,Sheet2!Q$3:Q$8,"",0,1)</f>
        <v/>
      </c>
      <c r="H23" t="str">
        <f>_xlfn.XLOOKUP(B23,Sheet2!S$3:S$9,Sheet2!T$3:T$9,"",0,1)</f>
        <v/>
      </c>
      <c r="I23" t="str">
        <f>_xlfn.XLOOKUP(B23,Sheet2!V$3:V$10,Sheet2!W$3:W$10,"",0,1)</f>
        <v/>
      </c>
      <c r="J23" t="str">
        <f>_xlfn.XLOOKUP(B23,Sheet2!Z$3:Z$7,Sheet2!AA$3:AA$7,"",0,1)</f>
        <v/>
      </c>
      <c r="K23">
        <f>_xlfn.XLOOKUP(B23,Sheet2!B$19:B$30,Sheet2!C$19:C$30,"",0,1)</f>
        <v>7</v>
      </c>
      <c r="L23" t="str">
        <f>_xlfn.XLOOKUP(B23,Sheet2!E$19:E$22,Sheet2!F$19:F$22,"",0,1)</f>
        <v/>
      </c>
      <c r="M23" t="str">
        <f>_xlfn.XLOOKUP(B23,Sheet2!H$19:H$26,Sheet2!I$19:I$26,"",0,1)</f>
        <v/>
      </c>
      <c r="N23" t="str">
        <f>_xlfn.XLOOKUP(B23,Sheet2!L$19:L$23,Sheet2!M$19:M$23,"",0,1)</f>
        <v/>
      </c>
      <c r="O23" t="str">
        <f>_xlfn.XLOOKUP(B23,Sheet2!P$19:P$21,Sheet2!Q$19:Q$21,"",0,1)</f>
        <v/>
      </c>
      <c r="P23" t="str">
        <f>_xlfn.XLOOKUP(B23,Sheet2!S$19:S$22,Sheet2!T$19:T$22,"",0,1)</f>
        <v/>
      </c>
      <c r="Q23">
        <f>_xlfn.XLOOKUP(B23,Sheet2!V$19:V$21,Sheet2!W$19:W$21,"",0,1)</f>
        <v>2</v>
      </c>
      <c r="R23" s="20">
        <f>_xlfn.XLOOKUP(B23,Sheet2!Z$19:Z$24,Sheet2!AA$19:AA$24,"",0,1)</f>
        <v>4</v>
      </c>
    </row>
    <row r="24" spans="2:18" x14ac:dyDescent="0.2">
      <c r="B24" s="5" t="s">
        <v>40</v>
      </c>
      <c r="C24">
        <f>_xlfn.XLOOKUP(B24,Sheet2!B$3:B$13,Sheet2!C$3:C$13,"",0,1)</f>
        <v>10</v>
      </c>
      <c r="D24">
        <f>_xlfn.XLOOKUP(B24,Sheet2!E$3:E$5,Sheet2!F$3:F$5,"",0,1)</f>
        <v>12</v>
      </c>
      <c r="E24">
        <f>_xlfn.XLOOKUP(B24,Sheet2!H$3:H$8,Sheet2!I$3:I$8,"",0,1)</f>
        <v>4</v>
      </c>
      <c r="F24">
        <f>_xlfn.XLOOKUP(B24,Sheet2!L$3:L$8,Sheet2!M$3:M$8,"",0,1)</f>
        <v>4</v>
      </c>
      <c r="G24" t="str">
        <f>_xlfn.XLOOKUP(B24,Sheet2!P$3:P$8,Sheet2!Q$3:Q$8,"",0,1)</f>
        <v/>
      </c>
      <c r="H24" t="str">
        <f>_xlfn.XLOOKUP(B24,Sheet2!S$3:S$9,Sheet2!T$3:T$9,"",0,1)</f>
        <v/>
      </c>
      <c r="I24" t="str">
        <f>_xlfn.XLOOKUP(B24,Sheet2!V$3:V$10,Sheet2!W$3:W$10,"",0,1)</f>
        <v/>
      </c>
      <c r="J24" t="str">
        <f>_xlfn.XLOOKUP(B24,Sheet2!Z$3:Z$7,Sheet2!AA$3:AA$7,"",0,1)</f>
        <v/>
      </c>
      <c r="K24">
        <f>_xlfn.XLOOKUP(B24,Sheet2!B$19:B$30,Sheet2!C$19:C$30,"",0,1)</f>
        <v>4</v>
      </c>
      <c r="L24" t="str">
        <f>_xlfn.XLOOKUP(B24,Sheet2!E$19:E$22,Sheet2!F$19:F$22,"",0,1)</f>
        <v/>
      </c>
      <c r="M24" t="str">
        <f>_xlfn.XLOOKUP(B24,Sheet2!H$19:H$26,Sheet2!I$19:I$26,"",0,1)</f>
        <v/>
      </c>
      <c r="N24" t="str">
        <f>_xlfn.XLOOKUP(B24,Sheet2!L$19:L$23,Sheet2!M$19:M$23,"",0,1)</f>
        <v/>
      </c>
      <c r="O24" t="str">
        <f>_xlfn.XLOOKUP(B24,Sheet2!P$19:P$21,Sheet2!Q$19:Q$21,"",0,1)</f>
        <v/>
      </c>
      <c r="P24" t="str">
        <f>_xlfn.XLOOKUP(B24,Sheet2!S$19:S$22,Sheet2!T$19:T$22,"",0,1)</f>
        <v/>
      </c>
      <c r="Q24" t="str">
        <f>_xlfn.XLOOKUP(B24,Sheet2!V$19:V$21,Sheet2!W$19:W$21,"",0,1)</f>
        <v/>
      </c>
      <c r="R24" s="20" t="str">
        <f>_xlfn.XLOOKUP(B24,Sheet2!Z$19:Z$24,Sheet2!AA$19:AA$24,"",0,1)</f>
        <v/>
      </c>
    </row>
    <row r="25" spans="2:18" x14ac:dyDescent="0.2">
      <c r="B25" s="5" t="s">
        <v>41</v>
      </c>
      <c r="C25" t="str">
        <f>_xlfn.XLOOKUP(B25,Sheet2!B$3:B$13,Sheet2!C$3:C$13,"",0,1)</f>
        <v/>
      </c>
      <c r="D25" t="str">
        <f>_xlfn.XLOOKUP(B25,Sheet2!E$3:E$5,Sheet2!F$3:F$5,"",0,1)</f>
        <v/>
      </c>
      <c r="E25" t="str">
        <f>_xlfn.XLOOKUP(B25,Sheet2!H$3:H$8,Sheet2!I$3:I$8,"",0,1)</f>
        <v/>
      </c>
      <c r="F25">
        <f>_xlfn.XLOOKUP(B25,Sheet2!L$3:L$8,Sheet2!M$3:M$8,"",0,1)</f>
        <v>2</v>
      </c>
      <c r="G25" t="str">
        <f>_xlfn.XLOOKUP(B25,Sheet2!P$3:P$8,Sheet2!Q$3:Q$8,"",0,1)</f>
        <v/>
      </c>
      <c r="H25" t="str">
        <f>_xlfn.XLOOKUP(B25,Sheet2!S$3:S$9,Sheet2!T$3:T$9,"",0,1)</f>
        <v/>
      </c>
      <c r="I25" t="str">
        <f>_xlfn.XLOOKUP(B25,Sheet2!V$3:V$10,Sheet2!W$3:W$10,"",0,1)</f>
        <v/>
      </c>
      <c r="J25">
        <f>_xlfn.XLOOKUP(B25,Sheet2!Z$3:Z$7,Sheet2!AA$3:AA$7,"",0,1)</f>
        <v>4</v>
      </c>
      <c r="K25" t="str">
        <f>_xlfn.XLOOKUP(B25,Sheet2!B$19:B$30,Sheet2!C$19:C$30,"",0,1)</f>
        <v/>
      </c>
      <c r="L25" t="str">
        <f>_xlfn.XLOOKUP(B25,Sheet2!E$19:E$22,Sheet2!F$19:F$22,"",0,1)</f>
        <v/>
      </c>
      <c r="M25">
        <f>_xlfn.XLOOKUP(B25,Sheet2!H$19:H$26,Sheet2!I$19:I$26,"",0,1)</f>
        <v>6</v>
      </c>
      <c r="N25">
        <f>_xlfn.XLOOKUP(B25,Sheet2!L$19:L$23,Sheet2!M$19:M$23,"",0,1)</f>
        <v>6</v>
      </c>
      <c r="O25">
        <f>_xlfn.XLOOKUP(B25,Sheet2!P$19:P$21,Sheet2!Q$19:Q$21,"",0,1)</f>
        <v>6</v>
      </c>
      <c r="P25">
        <f>_xlfn.XLOOKUP(B25,Sheet2!S$19:S$22,Sheet2!T$19:T$22,"",0,1)</f>
        <v>4</v>
      </c>
      <c r="Q25" t="str">
        <f>_xlfn.XLOOKUP(B25,Sheet2!V$19:V$21,Sheet2!W$19:W$21,"",0,1)</f>
        <v/>
      </c>
      <c r="R25" s="20" t="str">
        <f>_xlfn.XLOOKUP(B25,Sheet2!Z$19:Z$24,Sheet2!AA$19:AA$24,"",0,1)</f>
        <v/>
      </c>
    </row>
    <row r="26" spans="2:18" x14ac:dyDescent="0.2">
      <c r="B26" s="5" t="s">
        <v>63</v>
      </c>
      <c r="C26" t="str">
        <f>_xlfn.XLOOKUP(B26,Sheet2!B$3:B$13,Sheet2!C$3:C$13,"",0,1)</f>
        <v/>
      </c>
      <c r="D26" t="str">
        <f>_xlfn.XLOOKUP(B26,Sheet2!E$3:E$5,Sheet2!F$3:F$5,"",0,1)</f>
        <v/>
      </c>
      <c r="E26" t="str">
        <f>_xlfn.XLOOKUP(B26,Sheet2!H$3:H$8,Sheet2!I$3:I$8,"",0,1)</f>
        <v/>
      </c>
      <c r="F26" t="str">
        <f>_xlfn.XLOOKUP(B26,Sheet2!L$3:L$8,Sheet2!M$3:M$8,"",0,1)</f>
        <v/>
      </c>
      <c r="G26" t="str">
        <f>_xlfn.XLOOKUP(B26,Sheet2!P$3:P$8,Sheet2!Q$3:Q$8,"",0,1)</f>
        <v/>
      </c>
      <c r="H26" t="str">
        <f>_xlfn.XLOOKUP(B26,Sheet2!S$3:S$9,Sheet2!T$3:T$9,"",0,1)</f>
        <v/>
      </c>
      <c r="I26">
        <f>_xlfn.XLOOKUP(B26,Sheet2!V$3:V$10,Sheet2!W$3:W$10,"",0,1)</f>
        <v>2</v>
      </c>
      <c r="J26" t="str">
        <f>_xlfn.XLOOKUP(B26,Sheet2!Z$3:Z$7,Sheet2!AA$3:AA$7,"",0,1)</f>
        <v/>
      </c>
      <c r="K26" t="str">
        <f>_xlfn.XLOOKUP(B26,Sheet2!B$19:B$30,Sheet2!C$19:C$30,"",0,1)</f>
        <v/>
      </c>
      <c r="L26" t="str">
        <f>_xlfn.XLOOKUP(B26,Sheet2!E$19:E$22,Sheet2!F$19:F$22,"",0,1)</f>
        <v/>
      </c>
      <c r="M26" t="str">
        <f>_xlfn.XLOOKUP(B26,Sheet2!H$19:H$26,Sheet2!I$19:I$26,"",0,1)</f>
        <v/>
      </c>
      <c r="N26" t="str">
        <f>_xlfn.XLOOKUP(B26,Sheet2!L$19:L$23,Sheet2!M$19:M$23,"",0,1)</f>
        <v/>
      </c>
      <c r="O26" t="str">
        <f>_xlfn.XLOOKUP(B26,Sheet2!P$19:P$21,Sheet2!Q$19:Q$21,"",0,1)</f>
        <v/>
      </c>
      <c r="P26" t="str">
        <f>_xlfn.XLOOKUP(B26,Sheet2!S$19:S$22,Sheet2!T$19:T$22,"",0,1)</f>
        <v/>
      </c>
      <c r="Q26" t="str">
        <f>_xlfn.XLOOKUP(B26,Sheet2!V$19:V$21,Sheet2!W$19:W$21,"",0,1)</f>
        <v/>
      </c>
      <c r="R26" s="20" t="str">
        <f>_xlfn.XLOOKUP(B26,Sheet2!Z$19:Z$24,Sheet2!AA$19:AA$24,"",0,1)</f>
        <v/>
      </c>
    </row>
    <row r="27" spans="2:18" x14ac:dyDescent="0.2">
      <c r="B27" s="5" t="s">
        <v>66</v>
      </c>
      <c r="C27" t="str">
        <f>_xlfn.XLOOKUP(B27,Sheet2!B$3:B$13,Sheet2!C$3:C$13,"",0,1)</f>
        <v/>
      </c>
      <c r="D27" t="str">
        <f>_xlfn.XLOOKUP(B27,Sheet2!E$3:E$5,Sheet2!F$3:F$5,"",0,1)</f>
        <v/>
      </c>
      <c r="E27" t="str">
        <f>_xlfn.XLOOKUP(B27,Sheet2!H$3:H$8,Sheet2!I$3:I$8,"",0,1)</f>
        <v/>
      </c>
      <c r="F27" t="str">
        <f>_xlfn.XLOOKUP(B27,Sheet2!L$3:L$8,Sheet2!M$3:M$8,"",0,1)</f>
        <v/>
      </c>
      <c r="G27" t="str">
        <f>_xlfn.XLOOKUP(B27,Sheet2!P$3:P$8,Sheet2!Q$3:Q$8,"",0,1)</f>
        <v/>
      </c>
      <c r="H27" t="str">
        <f>_xlfn.XLOOKUP(B27,Sheet2!S$3:S$9,Sheet2!T$3:T$9,"",0,1)</f>
        <v/>
      </c>
      <c r="I27" t="str">
        <f>_xlfn.XLOOKUP(B27,Sheet2!V$3:V$10,Sheet2!W$3:W$10,"",0,1)</f>
        <v/>
      </c>
      <c r="J27">
        <f>_xlfn.XLOOKUP(B27,Sheet2!Z$3:Z$7,Sheet2!AA$3:AA$7,"",0,1)</f>
        <v>1</v>
      </c>
      <c r="K27">
        <f>_xlfn.XLOOKUP(B27,Sheet2!B$19:B$30,Sheet2!C$19:C$30,"",0,1)</f>
        <v>1</v>
      </c>
      <c r="L27">
        <f>_xlfn.XLOOKUP(B27,Sheet2!E$19:E$22,Sheet2!F$19:F$22,"",0,1)</f>
        <v>1</v>
      </c>
      <c r="M27" t="str">
        <f>_xlfn.XLOOKUP(B27,Sheet2!H$19:H$26,Sheet2!I$19:I$26,"",0,1)</f>
        <v/>
      </c>
      <c r="N27" t="str">
        <f>_xlfn.XLOOKUP(B27,Sheet2!L$19:L$23,Sheet2!M$19:M$23,"",0,1)</f>
        <v/>
      </c>
      <c r="O27" t="str">
        <f>_xlfn.XLOOKUP(B27,Sheet2!P$19:P$21,Sheet2!Q$19:Q$21,"",0,1)</f>
        <v/>
      </c>
      <c r="P27" t="str">
        <f>_xlfn.XLOOKUP(B27,Sheet2!S$19:S$22,Sheet2!T$19:T$22,"",0,1)</f>
        <v/>
      </c>
      <c r="Q27" t="str">
        <f>_xlfn.XLOOKUP(B27,Sheet2!V$19:V$21,Sheet2!W$19:W$21,"",0,1)</f>
        <v/>
      </c>
      <c r="R27" s="20" t="str">
        <f>_xlfn.XLOOKUP(B27,Sheet2!Z$19:Z$24,Sheet2!AA$19:AA$24,"",0,1)</f>
        <v/>
      </c>
    </row>
    <row r="28" spans="2:18" x14ac:dyDescent="0.2">
      <c r="B28" s="27" t="s">
        <v>89</v>
      </c>
      <c r="C28" s="28" t="str">
        <f>_xlfn.XLOOKUP(B28,Sheet2!B$3:B$13,Sheet2!C$3:C$13,"",0,1)</f>
        <v/>
      </c>
      <c r="D28" s="28" t="str">
        <f>_xlfn.XLOOKUP(B28,Sheet2!E$3:E$5,Sheet2!F$3:F$5,"",0,1)</f>
        <v/>
      </c>
      <c r="E28" s="28" t="str">
        <f>_xlfn.XLOOKUP(B28,Sheet2!H$3:H$8,Sheet2!I$3:I$8,"",0,1)</f>
        <v/>
      </c>
      <c r="F28" s="28" t="str">
        <f>_xlfn.XLOOKUP(B28,Sheet2!L$3:L$8,Sheet2!M$3:M$8,"",0,1)</f>
        <v/>
      </c>
      <c r="G28" s="28" t="str">
        <f>_xlfn.XLOOKUP(B28,Sheet2!P$3:P$8,Sheet2!Q$3:Q$8,"",0,1)</f>
        <v/>
      </c>
      <c r="H28" s="28" t="str">
        <f>_xlfn.XLOOKUP(B28,Sheet2!S$3:S$9,Sheet2!T$3:T$9,"",0,1)</f>
        <v/>
      </c>
      <c r="I28" s="28" t="str">
        <f>_xlfn.XLOOKUP(B28,Sheet2!V$3:V$10,Sheet2!W$3:W$10,"",0,1)</f>
        <v/>
      </c>
      <c r="J28" s="28" t="str">
        <f>_xlfn.XLOOKUP(B28,Sheet2!Z$3:Z$7,Sheet2!AA$3:AA$7,"",0,1)</f>
        <v/>
      </c>
      <c r="K28" s="28" t="str">
        <f>_xlfn.XLOOKUP(B28,Sheet2!B$19:B$30,Sheet2!C$19:C$30,"",0,1)</f>
        <v/>
      </c>
      <c r="L28" s="28" t="str">
        <f>_xlfn.XLOOKUP(B28,Sheet2!E$19:E$22,Sheet2!F$19:F$22,"",0,1)</f>
        <v/>
      </c>
      <c r="M28" s="28" t="str">
        <f>_xlfn.XLOOKUP(B28,Sheet2!H$19:H$26,Sheet2!I$19:I$26,"",0,1)</f>
        <v/>
      </c>
      <c r="N28" s="28" t="str">
        <f>_xlfn.XLOOKUP(B28,Sheet2!L$19:L$23,Sheet2!M$19:M$23,"",0,1)</f>
        <v/>
      </c>
      <c r="O28" s="28" t="str">
        <f>_xlfn.XLOOKUP(B28,Sheet2!P$19:P$21,Sheet2!Q$19:Q$21,"",0,1)</f>
        <v/>
      </c>
      <c r="P28" s="28" t="str">
        <f>_xlfn.XLOOKUP(B28,Sheet2!S$19:S$22,Sheet2!T$19:T$22,"",0,1)</f>
        <v/>
      </c>
      <c r="Q28" s="28" t="str">
        <f>_xlfn.XLOOKUP(B28,Sheet2!V$19:V$21,Sheet2!W$19:W$21,"",0,1)</f>
        <v/>
      </c>
      <c r="R28" s="29" t="str">
        <f>_xlfn.XLOOKUP(B28,Sheet2!Z$19:Z$24,Sheet2!AA$19:AA$24,"",0,1)</f>
        <v/>
      </c>
    </row>
    <row r="29" spans="2:18" x14ac:dyDescent="0.2">
      <c r="B29" s="5" t="s">
        <v>45</v>
      </c>
      <c r="C29">
        <f>_xlfn.XLOOKUP(B29,Sheet2!B$3:B$13,Sheet2!C$3:C$13,"",0,1)</f>
        <v>4</v>
      </c>
      <c r="D29" t="str">
        <f>_xlfn.XLOOKUP(B29,Sheet2!E$3:E$5,Sheet2!F$3:F$5,"",0,1)</f>
        <v/>
      </c>
      <c r="E29">
        <f>_xlfn.XLOOKUP(B29,Sheet2!H$3:H$8,Sheet2!I$3:I$8,"",0,1)</f>
        <v>10</v>
      </c>
      <c r="F29" t="str">
        <f>_xlfn.XLOOKUP(B29,Sheet2!L$3:L$8,Sheet2!M$3:M$8,"",0,1)</f>
        <v/>
      </c>
      <c r="G29">
        <f>_xlfn.XLOOKUP(B29,Sheet2!P$3:P$8,Sheet2!Q$3:Q$8,"",0,1)</f>
        <v>3</v>
      </c>
      <c r="H29">
        <f>_xlfn.XLOOKUP(B29,Sheet2!S$3:S$9,Sheet2!T$3:T$9,"",0,1)</f>
        <v>7</v>
      </c>
      <c r="I29" t="str">
        <f>_xlfn.XLOOKUP(B29,Sheet2!V$3:V$10,Sheet2!W$3:W$10,"",0,1)</f>
        <v/>
      </c>
      <c r="J29" t="str">
        <f>_xlfn.XLOOKUP(B29,Sheet2!Z$3:Z$7,Sheet2!AA$3:AA$7,"",0,1)</f>
        <v/>
      </c>
      <c r="K29">
        <f>_xlfn.XLOOKUP(B29,Sheet2!B$19:B$30,Sheet2!C$19:C$30,"",0,1)</f>
        <v>2</v>
      </c>
      <c r="L29" t="str">
        <f>_xlfn.XLOOKUP(B29,Sheet2!E$19:E$22,Sheet2!F$19:F$22,"",0,1)</f>
        <v/>
      </c>
      <c r="M29">
        <f>_xlfn.XLOOKUP(B29,Sheet2!H$19:H$26,Sheet2!I$19:I$26,"",0,1)</f>
        <v>2</v>
      </c>
      <c r="N29" t="str">
        <f>_xlfn.XLOOKUP(B29,Sheet2!L$19:L$23,Sheet2!M$19:M$23,"",0,1)</f>
        <v/>
      </c>
      <c r="O29" t="str">
        <f>_xlfn.XLOOKUP(B29,Sheet2!P$19:P$21,Sheet2!Q$19:Q$21,"",0,1)</f>
        <v/>
      </c>
      <c r="P29">
        <f>_xlfn.XLOOKUP(B29,Sheet2!S$19:S$22,Sheet2!T$19:T$22,"",0,1)</f>
        <v>4</v>
      </c>
      <c r="Q29" t="str">
        <f>_xlfn.XLOOKUP(B29,Sheet2!V$19:V$21,Sheet2!W$19:W$21,"",0,1)</f>
        <v/>
      </c>
      <c r="R29" s="20">
        <f>_xlfn.XLOOKUP(B29,Sheet2!Z$19:Z$24,Sheet2!AA$19:AA$24,"",0,1)</f>
        <v>2</v>
      </c>
    </row>
    <row r="30" spans="2:18" x14ac:dyDescent="0.2">
      <c r="B30" s="5" t="s">
        <v>71</v>
      </c>
      <c r="C30" t="str">
        <f>_xlfn.XLOOKUP(B30,Sheet2!B$3:B$13,Sheet2!C$3:C$13,"",0,1)</f>
        <v/>
      </c>
      <c r="D30" t="str">
        <f>_xlfn.XLOOKUP(B30,Sheet2!E$3:E$5,Sheet2!F$3:F$5,"",0,1)</f>
        <v/>
      </c>
      <c r="E30" t="str">
        <f>_xlfn.XLOOKUP(B30,Sheet2!H$3:H$8,Sheet2!I$3:I$8,"",0,1)</f>
        <v/>
      </c>
      <c r="F30" t="str">
        <f>_xlfn.XLOOKUP(B30,Sheet2!L$3:L$8,Sheet2!M$3:M$8,"",0,1)</f>
        <v/>
      </c>
      <c r="G30" t="str">
        <f>_xlfn.XLOOKUP(B30,Sheet2!P$3:P$8,Sheet2!Q$3:Q$8,"",0,1)</f>
        <v/>
      </c>
      <c r="H30" t="str">
        <f>_xlfn.XLOOKUP(B30,Sheet2!S$3:S$9,Sheet2!T$3:T$9,"",0,1)</f>
        <v/>
      </c>
      <c r="I30" t="str">
        <f>_xlfn.XLOOKUP(B30,Sheet2!V$3:V$10,Sheet2!W$3:W$10,"",0,1)</f>
        <v/>
      </c>
      <c r="J30" t="str">
        <f>_xlfn.XLOOKUP(B30,Sheet2!Z$3:Z$7,Sheet2!AA$3:AA$7,"",0,1)</f>
        <v/>
      </c>
      <c r="K30">
        <f>_xlfn.XLOOKUP(B30,Sheet2!B$19:B$30,Sheet2!C$19:C$30,"",0,1)</f>
        <v>4</v>
      </c>
      <c r="L30" t="str">
        <f>_xlfn.XLOOKUP(B30,Sheet2!E$19:E$22,Sheet2!F$19:F$22,"",0,1)</f>
        <v/>
      </c>
      <c r="M30" t="str">
        <f>_xlfn.XLOOKUP(B30,Sheet2!H$19:H$26,Sheet2!I$19:I$26,"",0,1)</f>
        <v/>
      </c>
      <c r="N30" t="str">
        <f>_xlfn.XLOOKUP(B30,Sheet2!L$19:L$23,Sheet2!M$19:M$23,"",0,1)</f>
        <v/>
      </c>
      <c r="O30" t="str">
        <f>_xlfn.XLOOKUP(B30,Sheet2!P$19:P$21,Sheet2!Q$19:Q$21,"",0,1)</f>
        <v/>
      </c>
      <c r="P30" t="str">
        <f>_xlfn.XLOOKUP(B30,Sheet2!S$19:S$22,Sheet2!T$19:T$22,"",0,1)</f>
        <v/>
      </c>
      <c r="Q30" t="str">
        <f>_xlfn.XLOOKUP(B30,Sheet2!V$19:V$21,Sheet2!W$19:W$21,"",0,1)</f>
        <v/>
      </c>
      <c r="R30" s="20" t="str">
        <f>_xlfn.XLOOKUP(B30,Sheet2!Z$19:Z$24,Sheet2!AA$19:AA$24,"",0,1)</f>
        <v/>
      </c>
    </row>
    <row r="31" spans="2:18" x14ac:dyDescent="0.2">
      <c r="B31" s="9" t="s">
        <v>62</v>
      </c>
      <c r="C31" s="22" t="str">
        <f>_xlfn.XLOOKUP(B31,Sheet2!B$3:B$13,Sheet2!C$3:C$13,"",0,1)</f>
        <v/>
      </c>
      <c r="D31" s="22" t="str">
        <f>_xlfn.XLOOKUP(B31,Sheet2!E$3:E$5,Sheet2!F$3:F$5,"",0,1)</f>
        <v/>
      </c>
      <c r="E31" s="22" t="str">
        <f>_xlfn.XLOOKUP(B31,Sheet2!H$3:H$8,Sheet2!I$3:I$8,"",0,1)</f>
        <v/>
      </c>
      <c r="F31" s="22" t="str">
        <f>_xlfn.XLOOKUP(B31,Sheet2!L$3:L$8,Sheet2!M$3:M$8,"",0,1)</f>
        <v/>
      </c>
      <c r="G31" s="22" t="str">
        <f>_xlfn.XLOOKUP(B31,Sheet2!P$3:P$8,Sheet2!Q$3:Q$8,"",0,1)</f>
        <v/>
      </c>
      <c r="H31" s="22" t="str">
        <f>_xlfn.XLOOKUP(B31,Sheet2!S$3:S$9,Sheet2!T$3:T$9,"",0,1)</f>
        <v/>
      </c>
      <c r="I31" s="22">
        <f>_xlfn.XLOOKUP(B31,Sheet2!V$3:V$10,Sheet2!W$3:W$10,"",0,1)</f>
        <v>6</v>
      </c>
      <c r="J31" s="22" t="str">
        <f>_xlfn.XLOOKUP(B31,Sheet2!Z$3:Z$7,Sheet2!AA$3:AA$7,"",0,1)</f>
        <v/>
      </c>
      <c r="K31" s="22" t="str">
        <f>_xlfn.XLOOKUP(B31,Sheet2!B$19:B$30,Sheet2!C$19:C$30,"",0,1)</f>
        <v/>
      </c>
      <c r="L31" s="22" t="str">
        <f>_xlfn.XLOOKUP(B31,Sheet2!E$19:E$22,Sheet2!F$19:F$22,"",0,1)</f>
        <v/>
      </c>
      <c r="M31" s="22" t="str">
        <f>_xlfn.XLOOKUP(B31,Sheet2!H$19:H$26,Sheet2!I$19:I$26,"",0,1)</f>
        <v/>
      </c>
      <c r="N31" s="22" t="str">
        <f>_xlfn.XLOOKUP(B31,Sheet2!L$19:L$23,Sheet2!M$19:M$23,"",0,1)</f>
        <v/>
      </c>
      <c r="O31" s="22" t="str">
        <f>_xlfn.XLOOKUP(B31,Sheet2!P$19:P$21,Sheet2!Q$19:Q$21,"",0,1)</f>
        <v/>
      </c>
      <c r="P31" s="22" t="str">
        <f>_xlfn.XLOOKUP(B31,Sheet2!S$19:S$22,Sheet2!T$19:T$22,"",0,1)</f>
        <v/>
      </c>
      <c r="Q31" s="22" t="str">
        <f>_xlfn.XLOOKUP(B31,Sheet2!V$19:V$21,Sheet2!W$19:W$21,"",0,1)</f>
        <v/>
      </c>
      <c r="R31" s="23" t="str">
        <f>_xlfn.XLOOKUP(B31,Sheet2!Z$19:Z$24,Sheet2!AA$19:AA$24,"",0,1)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Bradburne</dc:creator>
  <cp:lastModifiedBy>Colin Bradburne</cp:lastModifiedBy>
  <dcterms:created xsi:type="dcterms:W3CDTF">2025-04-06T17:27:24Z</dcterms:created>
  <dcterms:modified xsi:type="dcterms:W3CDTF">2025-10-19T18:21:07Z</dcterms:modified>
</cp:coreProperties>
</file>